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8a6705fd43a1bc/Documents/"/>
    </mc:Choice>
  </mc:AlternateContent>
  <xr:revisionPtr revIDLastSave="0" documentId="8_{E35D7AB8-E11E-4AE6-8424-E53216E0E325}" xr6:coauthVersionLast="47" xr6:coauthVersionMax="47" xr10:uidLastSave="{00000000-0000-0000-0000-000000000000}"/>
  <bookViews>
    <workbookView xWindow="-108" yWindow="-108" windowWidth="23256" windowHeight="12456" xr2:uid="{0F4DA994-4C09-234C-8C84-37795333C159}"/>
  </bookViews>
  <sheets>
    <sheet name="Epidemic" sheetId="2" r:id="rId1"/>
  </sheets>
  <definedNames>
    <definedName name="_xlnm._FilterDatabase" localSheetId="0" hidden="1">Epidemic!$E$1:$E$221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2" l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6" i="2"/>
  <c r="C3" i="2"/>
  <c r="C221" i="2"/>
  <c r="D6" i="2"/>
  <c r="D7" i="2"/>
  <c r="D8" i="2"/>
  <c r="D9" i="2"/>
  <c r="D219" i="2"/>
  <c r="D218" i="2"/>
  <c r="D217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C2" i="2"/>
  <c r="L6" i="2" s="1"/>
  <c r="I7" i="2" s="1"/>
  <c r="E6" i="2"/>
  <c r="E7" i="2" s="1"/>
  <c r="E8" i="2" s="1"/>
  <c r="E9" i="2" s="1"/>
  <c r="C1" i="2"/>
  <c r="G2" i="2" s="1"/>
  <c r="G6" i="2" l="1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D221" i="2"/>
  <c r="J6" i="2" l="1"/>
  <c r="K6" i="2" s="1"/>
  <c r="H7" i="2" s="1"/>
  <c r="L7" i="2" s="1"/>
  <c r="I8" i="2" s="1"/>
  <c r="E217" i="2"/>
  <c r="E218" i="2" s="1"/>
  <c r="E219" i="2" s="1"/>
  <c r="G7" i="2" l="1"/>
  <c r="J7" i="2" l="1"/>
  <c r="K7" i="2" s="1"/>
  <c r="H8" i="2" s="1"/>
  <c r="L8" i="2" s="1"/>
  <c r="I9" i="2" s="1"/>
  <c r="G8" i="2" l="1"/>
  <c r="J8" i="2" l="1"/>
  <c r="G9" i="2" s="1"/>
  <c r="K8" i="2" l="1"/>
  <c r="H9" i="2" s="1"/>
  <c r="L9" i="2" s="1"/>
  <c r="I10" i="2" s="1"/>
  <c r="J9" i="2" l="1"/>
  <c r="K9" i="2" s="1"/>
  <c r="H10" i="2" s="1"/>
  <c r="L10" i="2" s="1"/>
  <c r="I11" i="2" s="1"/>
  <c r="G10" i="2" l="1"/>
  <c r="J10" i="2" l="1"/>
  <c r="K10" i="2" s="1"/>
  <c r="H11" i="2" s="1"/>
  <c r="L11" i="2" s="1"/>
  <c r="I12" i="2" s="1"/>
  <c r="G11" i="2" l="1"/>
  <c r="J11" i="2" s="1"/>
  <c r="K11" i="2" s="1"/>
  <c r="H12" i="2" s="1"/>
  <c r="L12" i="2" s="1"/>
  <c r="I13" i="2" s="1"/>
  <c r="G12" i="2" l="1"/>
  <c r="J12" i="2" l="1"/>
  <c r="K12" i="2" s="1"/>
  <c r="H13" i="2" s="1"/>
  <c r="L13" i="2" s="1"/>
  <c r="I14" i="2" s="1"/>
  <c r="G13" i="2" l="1"/>
  <c r="J13" i="2" l="1"/>
  <c r="K13" i="2" s="1"/>
  <c r="H14" i="2" s="1"/>
  <c r="L14" i="2" s="1"/>
  <c r="I15" i="2" s="1"/>
  <c r="G14" i="2" l="1"/>
  <c r="J14" i="2" l="1"/>
  <c r="K14" i="2" s="1"/>
  <c r="H15" i="2" s="1"/>
  <c r="L15" i="2" s="1"/>
  <c r="I16" i="2" s="1"/>
  <c r="G15" i="2" l="1"/>
  <c r="J15" i="2" l="1"/>
  <c r="K15" i="2" s="1"/>
  <c r="H16" i="2" s="1"/>
  <c r="L16" i="2" s="1"/>
  <c r="I17" i="2" s="1"/>
  <c r="G16" i="2" l="1"/>
  <c r="J16" i="2" l="1"/>
  <c r="K16" i="2" s="1"/>
  <c r="H17" i="2" s="1"/>
  <c r="L17" i="2" s="1"/>
  <c r="I18" i="2" s="1"/>
  <c r="G17" i="2" l="1"/>
  <c r="J17" i="2"/>
  <c r="K17" i="2" s="1"/>
  <c r="H18" i="2" s="1"/>
  <c r="L18" i="2" s="1"/>
  <c r="I19" i="2" s="1"/>
  <c r="G18" i="2" l="1"/>
  <c r="J18" i="2" s="1"/>
  <c r="K18" i="2" s="1"/>
  <c r="H19" i="2" s="1"/>
  <c r="L19" i="2" s="1"/>
  <c r="I20" i="2" s="1"/>
  <c r="G19" i="2" l="1"/>
  <c r="J19" i="2" l="1"/>
  <c r="K19" i="2" s="1"/>
  <c r="H20" i="2" s="1"/>
  <c r="L20" i="2" s="1"/>
  <c r="I21" i="2" s="1"/>
  <c r="G20" i="2" l="1"/>
  <c r="J20" i="2" l="1"/>
  <c r="K20" i="2" s="1"/>
  <c r="H21" i="2" s="1"/>
  <c r="L21" i="2" s="1"/>
  <c r="I22" i="2" s="1"/>
  <c r="G21" i="2" l="1"/>
  <c r="J21" i="2" l="1"/>
  <c r="G22" i="2" s="1"/>
  <c r="K21" i="2" l="1"/>
  <c r="H22" i="2" s="1"/>
  <c r="L22" i="2" s="1"/>
  <c r="I23" i="2" s="1"/>
  <c r="J22" i="2" l="1"/>
  <c r="K22" i="2" s="1"/>
  <c r="H23" i="2" s="1"/>
  <c r="L23" i="2" s="1"/>
  <c r="I24" i="2" s="1"/>
  <c r="G23" i="2" l="1"/>
  <c r="J23" i="2" l="1"/>
  <c r="K23" i="2" s="1"/>
  <c r="H24" i="2" s="1"/>
  <c r="L24" i="2" s="1"/>
  <c r="I25" i="2" s="1"/>
  <c r="G24" i="2"/>
  <c r="J24" i="2" l="1"/>
  <c r="K24" i="2" s="1"/>
  <c r="H25" i="2" s="1"/>
  <c r="L25" i="2" s="1"/>
  <c r="I26" i="2" s="1"/>
  <c r="G25" i="2" l="1"/>
  <c r="J25" i="2" s="1"/>
  <c r="K25" i="2" s="1"/>
  <c r="H26" i="2" s="1"/>
  <c r="L26" i="2" s="1"/>
  <c r="I27" i="2" s="1"/>
  <c r="G26" i="2" l="1"/>
  <c r="J26" i="2" l="1"/>
  <c r="K26" i="2" s="1"/>
  <c r="H27" i="2" s="1"/>
  <c r="L27" i="2" s="1"/>
  <c r="I28" i="2" s="1"/>
  <c r="G27" i="2" l="1"/>
  <c r="J27" i="2" s="1"/>
  <c r="K27" i="2" s="1"/>
  <c r="H28" i="2" s="1"/>
  <c r="L28" i="2" s="1"/>
  <c r="I29" i="2" s="1"/>
  <c r="G28" i="2" l="1"/>
  <c r="J28" i="2" l="1"/>
  <c r="K28" i="2" s="1"/>
  <c r="H29" i="2" s="1"/>
  <c r="L29" i="2" s="1"/>
  <c r="I30" i="2" s="1"/>
  <c r="G29" i="2" l="1"/>
  <c r="J29" i="2" l="1"/>
  <c r="K29" i="2" s="1"/>
  <c r="H30" i="2" s="1"/>
  <c r="L30" i="2" s="1"/>
  <c r="I31" i="2" s="1"/>
  <c r="G30" i="2" l="1"/>
  <c r="J30" i="2" l="1"/>
  <c r="G31" i="2" s="1"/>
  <c r="K30" i="2" l="1"/>
  <c r="H31" i="2" s="1"/>
  <c r="L31" i="2" s="1"/>
  <c r="I32" i="2" s="1"/>
  <c r="J31" i="2" l="1"/>
  <c r="K31" i="2" s="1"/>
  <c r="H32" i="2" s="1"/>
  <c r="L32" i="2" s="1"/>
  <c r="I33" i="2" s="1"/>
  <c r="G32" i="2" l="1"/>
  <c r="J32" i="2" s="1"/>
  <c r="K32" i="2" s="1"/>
  <c r="H33" i="2" s="1"/>
  <c r="L33" i="2" s="1"/>
  <c r="I34" i="2" s="1"/>
  <c r="G33" i="2"/>
  <c r="J33" i="2" s="1"/>
  <c r="K33" i="2" s="1"/>
  <c r="H34" i="2" s="1"/>
  <c r="L34" i="2" s="1"/>
  <c r="I35" i="2" s="1"/>
  <c r="G34" i="2" l="1"/>
  <c r="J34" i="2" l="1"/>
  <c r="K34" i="2" l="1"/>
  <c r="H35" i="2" s="1"/>
  <c r="L35" i="2" s="1"/>
  <c r="I36" i="2" s="1"/>
  <c r="G35" i="2"/>
  <c r="J35" i="2" l="1"/>
  <c r="G36" i="2" l="1"/>
  <c r="K35" i="2"/>
  <c r="H36" i="2" s="1"/>
  <c r="L36" i="2" s="1"/>
  <c r="I37" i="2" s="1"/>
  <c r="J36" i="2" l="1"/>
  <c r="K36" i="2" l="1"/>
  <c r="H37" i="2" s="1"/>
  <c r="L37" i="2" s="1"/>
  <c r="I38" i="2" s="1"/>
  <c r="G37" i="2"/>
  <c r="J37" i="2" l="1"/>
  <c r="K37" i="2" l="1"/>
  <c r="H38" i="2" s="1"/>
  <c r="L38" i="2" s="1"/>
  <c r="I39" i="2" s="1"/>
  <c r="G38" i="2"/>
  <c r="J38" i="2" l="1"/>
  <c r="K38" i="2" s="1"/>
  <c r="H39" i="2" s="1"/>
  <c r="L39" i="2" s="1"/>
  <c r="I40" i="2" s="1"/>
  <c r="G39" i="2" l="1"/>
  <c r="J39" i="2" l="1"/>
  <c r="K39" i="2" l="1"/>
  <c r="H40" i="2" s="1"/>
  <c r="L40" i="2" s="1"/>
  <c r="I41" i="2" s="1"/>
  <c r="G40" i="2"/>
  <c r="J40" i="2" l="1"/>
  <c r="G41" i="2" l="1"/>
  <c r="K40" i="2"/>
  <c r="H41" i="2" s="1"/>
  <c r="L41" i="2" s="1"/>
  <c r="I42" i="2" s="1"/>
  <c r="J41" i="2" l="1"/>
  <c r="K41" i="2" l="1"/>
  <c r="H42" i="2" s="1"/>
  <c r="L42" i="2" s="1"/>
  <c r="I43" i="2" s="1"/>
  <c r="G42" i="2"/>
  <c r="J42" i="2" l="1"/>
  <c r="K42" i="2" l="1"/>
  <c r="H43" i="2" s="1"/>
  <c r="L43" i="2" s="1"/>
  <c r="I44" i="2" s="1"/>
  <c r="G43" i="2"/>
  <c r="J43" i="2" l="1"/>
  <c r="G44" i="2" l="1"/>
  <c r="K43" i="2"/>
  <c r="H44" i="2" s="1"/>
  <c r="L44" i="2" s="1"/>
  <c r="I45" i="2" s="1"/>
  <c r="J44" i="2" l="1"/>
  <c r="K44" i="2" l="1"/>
  <c r="H45" i="2" s="1"/>
  <c r="L45" i="2" s="1"/>
  <c r="I46" i="2" s="1"/>
  <c r="G45" i="2"/>
  <c r="J45" i="2" l="1"/>
  <c r="K45" i="2" l="1"/>
  <c r="H46" i="2" s="1"/>
  <c r="L46" i="2" s="1"/>
  <c r="I47" i="2" s="1"/>
  <c r="G46" i="2"/>
  <c r="J46" i="2" l="1"/>
  <c r="G47" i="2" l="1"/>
  <c r="K46" i="2"/>
  <c r="H47" i="2" s="1"/>
  <c r="L47" i="2" s="1"/>
  <c r="I48" i="2" s="1"/>
  <c r="J47" i="2" l="1"/>
  <c r="K47" i="2" l="1"/>
  <c r="H48" i="2" s="1"/>
  <c r="L48" i="2" s="1"/>
  <c r="I49" i="2" s="1"/>
  <c r="G48" i="2"/>
  <c r="J48" i="2" l="1"/>
  <c r="G49" i="2" l="1"/>
  <c r="K48" i="2"/>
  <c r="H49" i="2" s="1"/>
  <c r="L49" i="2" s="1"/>
  <c r="I50" i="2" s="1"/>
  <c r="J49" i="2" l="1"/>
  <c r="K49" i="2" l="1"/>
  <c r="H50" i="2" s="1"/>
  <c r="L50" i="2" s="1"/>
  <c r="I51" i="2" s="1"/>
  <c r="G50" i="2"/>
  <c r="J50" i="2" l="1"/>
  <c r="K50" i="2" l="1"/>
  <c r="H51" i="2" s="1"/>
  <c r="L51" i="2" s="1"/>
  <c r="I52" i="2" s="1"/>
  <c r="G51" i="2"/>
  <c r="J51" i="2" l="1"/>
  <c r="K51" i="2" s="1"/>
  <c r="H52" i="2" s="1"/>
  <c r="L52" i="2" s="1"/>
  <c r="I53" i="2" s="1"/>
  <c r="G52" i="2" l="1"/>
  <c r="J52" i="2" l="1"/>
  <c r="K52" i="2" s="1"/>
  <c r="H53" i="2" s="1"/>
  <c r="L53" i="2" s="1"/>
  <c r="I54" i="2" s="1"/>
  <c r="G53" i="2" l="1"/>
  <c r="J53" i="2" l="1"/>
  <c r="G54" i="2" l="1"/>
  <c r="K53" i="2"/>
  <c r="H54" i="2" s="1"/>
  <c r="L54" i="2" s="1"/>
  <c r="I55" i="2" s="1"/>
  <c r="J54" i="2" l="1"/>
  <c r="K54" i="2" s="1"/>
  <c r="H55" i="2" s="1"/>
  <c r="L55" i="2" s="1"/>
  <c r="I56" i="2" s="1"/>
  <c r="G55" i="2" l="1"/>
  <c r="J55" i="2" l="1"/>
  <c r="K55" i="2" s="1"/>
  <c r="H56" i="2" s="1"/>
  <c r="L56" i="2" s="1"/>
  <c r="I57" i="2" s="1"/>
  <c r="G56" i="2" l="1"/>
  <c r="J56" i="2" l="1"/>
  <c r="K56" i="2" s="1"/>
  <c r="H57" i="2" s="1"/>
  <c r="L57" i="2" s="1"/>
  <c r="I58" i="2" s="1"/>
  <c r="G57" i="2" l="1"/>
  <c r="J57" i="2" l="1"/>
  <c r="K57" i="2" s="1"/>
  <c r="H58" i="2" s="1"/>
  <c r="L58" i="2" s="1"/>
  <c r="I59" i="2" s="1"/>
  <c r="G58" i="2" l="1"/>
  <c r="J58" i="2" l="1"/>
  <c r="G59" i="2" s="1"/>
  <c r="K58" i="2" l="1"/>
  <c r="H59" i="2" s="1"/>
  <c r="L59" i="2" s="1"/>
  <c r="I60" i="2" s="1"/>
  <c r="J59" i="2" l="1"/>
  <c r="K59" i="2" s="1"/>
  <c r="H60" i="2" s="1"/>
  <c r="L60" i="2" s="1"/>
  <c r="I61" i="2" s="1"/>
  <c r="G60" i="2" l="1"/>
  <c r="J60" i="2" l="1"/>
  <c r="G61" i="2" s="1"/>
  <c r="K60" i="2" l="1"/>
  <c r="H61" i="2" s="1"/>
  <c r="L61" i="2" s="1"/>
  <c r="I62" i="2" s="1"/>
  <c r="J61" i="2" l="1"/>
  <c r="G62" i="2" s="1"/>
  <c r="K61" i="2" l="1"/>
  <c r="H62" i="2" s="1"/>
  <c r="L62" i="2" s="1"/>
  <c r="I63" i="2" s="1"/>
  <c r="J62" i="2" l="1"/>
  <c r="G63" i="2" s="1"/>
  <c r="K62" i="2" l="1"/>
  <c r="H63" i="2" s="1"/>
  <c r="L63" i="2" s="1"/>
  <c r="I64" i="2" s="1"/>
  <c r="J63" i="2" l="1"/>
  <c r="K63" i="2" s="1"/>
  <c r="H64" i="2" s="1"/>
  <c r="L64" i="2" s="1"/>
  <c r="I65" i="2" s="1"/>
  <c r="G64" i="2" l="1"/>
  <c r="J64" i="2" s="1"/>
  <c r="K64" i="2" s="1"/>
  <c r="H65" i="2" s="1"/>
  <c r="L65" i="2" s="1"/>
  <c r="I66" i="2" s="1"/>
  <c r="G65" i="2" l="1"/>
  <c r="J65" i="2" l="1"/>
  <c r="K65" i="2" l="1"/>
  <c r="H66" i="2" s="1"/>
  <c r="L66" i="2" s="1"/>
  <c r="I67" i="2" s="1"/>
  <c r="G66" i="2"/>
  <c r="J66" i="2" l="1"/>
  <c r="K66" i="2" s="1"/>
  <c r="H67" i="2" s="1"/>
  <c r="L67" i="2" s="1"/>
  <c r="I68" i="2" s="1"/>
  <c r="G67" i="2" l="1"/>
  <c r="J67" i="2" s="1"/>
  <c r="K67" i="2" s="1"/>
  <c r="H68" i="2" s="1"/>
  <c r="L68" i="2" s="1"/>
  <c r="I69" i="2" s="1"/>
  <c r="G68" i="2" l="1"/>
  <c r="J68" i="2" l="1"/>
  <c r="K68" i="2" s="1"/>
  <c r="H69" i="2" s="1"/>
  <c r="L69" i="2" s="1"/>
  <c r="I70" i="2" s="1"/>
  <c r="G69" i="2" l="1"/>
  <c r="J69" i="2" l="1"/>
  <c r="G70" i="2" s="1"/>
  <c r="K69" i="2" l="1"/>
  <c r="H70" i="2" s="1"/>
  <c r="L70" i="2" s="1"/>
  <c r="I71" i="2" s="1"/>
  <c r="J70" i="2" l="1"/>
  <c r="G71" i="2" s="1"/>
  <c r="K70" i="2" l="1"/>
  <c r="H71" i="2" s="1"/>
  <c r="L71" i="2" s="1"/>
  <c r="I72" i="2" s="1"/>
  <c r="J71" i="2" l="1"/>
  <c r="K71" i="2" s="1"/>
  <c r="H72" i="2" s="1"/>
  <c r="L72" i="2" s="1"/>
  <c r="I73" i="2" s="1"/>
  <c r="G72" i="2" l="1"/>
  <c r="J72" i="2" l="1"/>
  <c r="K72" i="2" s="1"/>
  <c r="H73" i="2" s="1"/>
  <c r="L73" i="2" s="1"/>
  <c r="I74" i="2" s="1"/>
  <c r="G73" i="2" l="1"/>
  <c r="J73" i="2" s="1"/>
  <c r="K73" i="2" s="1"/>
  <c r="H74" i="2" s="1"/>
  <c r="L74" i="2" s="1"/>
  <c r="I75" i="2" s="1"/>
  <c r="G74" i="2" l="1"/>
  <c r="J74" i="2" l="1"/>
  <c r="K74" i="2" s="1"/>
  <c r="H75" i="2" s="1"/>
  <c r="L75" i="2" s="1"/>
  <c r="I76" i="2" s="1"/>
  <c r="G75" i="2" l="1"/>
  <c r="J75" i="2" l="1"/>
  <c r="K75" i="2" s="1"/>
  <c r="H76" i="2" s="1"/>
  <c r="L76" i="2" s="1"/>
  <c r="I77" i="2" s="1"/>
  <c r="G76" i="2" l="1"/>
  <c r="J76" i="2" l="1"/>
  <c r="G77" i="2" s="1"/>
  <c r="K76" i="2" l="1"/>
  <c r="H77" i="2" s="1"/>
  <c r="L77" i="2" s="1"/>
  <c r="I78" i="2" s="1"/>
  <c r="J77" i="2" l="1"/>
  <c r="K77" i="2" l="1"/>
  <c r="H78" i="2" s="1"/>
  <c r="L78" i="2" s="1"/>
  <c r="I79" i="2" s="1"/>
  <c r="G78" i="2"/>
  <c r="J78" i="2" l="1"/>
  <c r="K78" i="2" l="1"/>
  <c r="H79" i="2" s="1"/>
  <c r="L79" i="2" s="1"/>
  <c r="I80" i="2" s="1"/>
  <c r="G79" i="2"/>
  <c r="J79" i="2" l="1"/>
  <c r="K79" i="2" l="1"/>
  <c r="H80" i="2" s="1"/>
  <c r="L80" i="2" s="1"/>
  <c r="I81" i="2" s="1"/>
  <c r="G80" i="2"/>
  <c r="J80" i="2" l="1"/>
  <c r="K80" i="2" l="1"/>
  <c r="H81" i="2" s="1"/>
  <c r="L81" i="2" s="1"/>
  <c r="I82" i="2" s="1"/>
  <c r="G81" i="2"/>
  <c r="J81" i="2" l="1"/>
  <c r="K81" i="2" l="1"/>
  <c r="H82" i="2" s="1"/>
  <c r="L82" i="2" s="1"/>
  <c r="I83" i="2" s="1"/>
  <c r="G82" i="2"/>
  <c r="J82" i="2" l="1"/>
  <c r="K82" i="2" l="1"/>
  <c r="H83" i="2" s="1"/>
  <c r="L83" i="2" s="1"/>
  <c r="I84" i="2" s="1"/>
  <c r="G83" i="2"/>
  <c r="J83" i="2" l="1"/>
  <c r="K83" i="2" l="1"/>
  <c r="H84" i="2" s="1"/>
  <c r="L84" i="2" s="1"/>
  <c r="I85" i="2" s="1"/>
  <c r="G84" i="2"/>
  <c r="J84" i="2" l="1"/>
  <c r="G85" i="2" l="1"/>
  <c r="K84" i="2"/>
  <c r="H85" i="2" s="1"/>
  <c r="L85" i="2" s="1"/>
  <c r="I86" i="2" s="1"/>
  <c r="J85" i="2" l="1"/>
  <c r="K85" i="2" s="1"/>
  <c r="H86" i="2" s="1"/>
  <c r="L86" i="2" s="1"/>
  <c r="I87" i="2" s="1"/>
  <c r="G86" i="2" l="1"/>
  <c r="J86" i="2" l="1"/>
  <c r="K86" i="2" l="1"/>
  <c r="H87" i="2" s="1"/>
  <c r="L87" i="2" s="1"/>
  <c r="I88" i="2" s="1"/>
  <c r="G87" i="2"/>
  <c r="J87" i="2" l="1"/>
  <c r="K87" i="2" l="1"/>
  <c r="H88" i="2" s="1"/>
  <c r="L88" i="2" s="1"/>
  <c r="I89" i="2" s="1"/>
  <c r="G88" i="2"/>
  <c r="J88" i="2" l="1"/>
  <c r="K88" i="2" l="1"/>
  <c r="H89" i="2" s="1"/>
  <c r="L89" i="2" s="1"/>
  <c r="I90" i="2" s="1"/>
  <c r="G89" i="2"/>
  <c r="J89" i="2" l="1"/>
  <c r="K89" i="2" s="1"/>
  <c r="H90" i="2" s="1"/>
  <c r="L90" i="2" s="1"/>
  <c r="I91" i="2" s="1"/>
  <c r="G90" i="2" l="1"/>
  <c r="J90" i="2" l="1"/>
  <c r="K90" i="2" s="1"/>
  <c r="H91" i="2" s="1"/>
  <c r="L91" i="2" s="1"/>
  <c r="I92" i="2" s="1"/>
  <c r="G91" i="2" l="1"/>
  <c r="J91" i="2" l="1"/>
  <c r="K91" i="2" l="1"/>
  <c r="H92" i="2" s="1"/>
  <c r="L92" i="2" s="1"/>
  <c r="I93" i="2" s="1"/>
  <c r="G92" i="2"/>
  <c r="J92" i="2" l="1"/>
  <c r="K92" i="2" l="1"/>
  <c r="H93" i="2" s="1"/>
  <c r="L93" i="2" s="1"/>
  <c r="I94" i="2" s="1"/>
  <c r="G93" i="2"/>
  <c r="J93" i="2" l="1"/>
  <c r="K93" i="2" l="1"/>
  <c r="H94" i="2" s="1"/>
  <c r="L94" i="2" s="1"/>
  <c r="I95" i="2" s="1"/>
  <c r="G94" i="2"/>
  <c r="J94" i="2" l="1"/>
  <c r="K94" i="2" l="1"/>
  <c r="H95" i="2" s="1"/>
  <c r="L95" i="2" s="1"/>
  <c r="I96" i="2" s="1"/>
  <c r="G95" i="2"/>
  <c r="J95" i="2" l="1"/>
  <c r="K95" i="2" l="1"/>
  <c r="H96" i="2" s="1"/>
  <c r="L96" i="2" s="1"/>
  <c r="I97" i="2" s="1"/>
  <c r="G96" i="2"/>
  <c r="J96" i="2" l="1"/>
  <c r="K96" i="2" l="1"/>
  <c r="H97" i="2" s="1"/>
  <c r="L97" i="2" s="1"/>
  <c r="I98" i="2" s="1"/>
  <c r="G97" i="2"/>
  <c r="J97" i="2" l="1"/>
  <c r="K97" i="2" l="1"/>
  <c r="H98" i="2" s="1"/>
  <c r="L98" i="2" s="1"/>
  <c r="I99" i="2" s="1"/>
  <c r="G98" i="2"/>
  <c r="J98" i="2" l="1"/>
  <c r="K98" i="2" l="1"/>
  <c r="H99" i="2" s="1"/>
  <c r="L99" i="2" s="1"/>
  <c r="I100" i="2" s="1"/>
  <c r="G99" i="2"/>
  <c r="J99" i="2" l="1"/>
  <c r="K99" i="2" l="1"/>
  <c r="H100" i="2" s="1"/>
  <c r="L100" i="2" s="1"/>
  <c r="I101" i="2" s="1"/>
  <c r="G100" i="2"/>
  <c r="J100" i="2" l="1"/>
  <c r="K100" i="2" l="1"/>
  <c r="H101" i="2" s="1"/>
  <c r="L101" i="2" s="1"/>
  <c r="I102" i="2" s="1"/>
  <c r="G101" i="2"/>
  <c r="J101" i="2" l="1"/>
  <c r="K101" i="2" s="1"/>
  <c r="H102" i="2" s="1"/>
  <c r="L102" i="2" s="1"/>
  <c r="I103" i="2" s="1"/>
  <c r="G102" i="2" l="1"/>
  <c r="J102" i="2" l="1"/>
  <c r="K102" i="2" s="1"/>
  <c r="H103" i="2" s="1"/>
  <c r="L103" i="2" s="1"/>
  <c r="I104" i="2" s="1"/>
  <c r="G103" i="2" l="1"/>
  <c r="J103" i="2" l="1"/>
  <c r="K103" i="2" s="1"/>
  <c r="H104" i="2" s="1"/>
  <c r="L104" i="2" s="1"/>
  <c r="I105" i="2" s="1"/>
  <c r="G104" i="2" l="1"/>
  <c r="J104" i="2" l="1"/>
  <c r="K104" i="2" s="1"/>
  <c r="H105" i="2" s="1"/>
  <c r="L105" i="2" s="1"/>
  <c r="I106" i="2" s="1"/>
  <c r="G105" i="2" l="1"/>
  <c r="J105" i="2" l="1"/>
  <c r="K105" i="2" s="1"/>
  <c r="H106" i="2" s="1"/>
  <c r="L106" i="2" s="1"/>
  <c r="I107" i="2" s="1"/>
  <c r="G106" i="2" l="1"/>
  <c r="J106" i="2" l="1"/>
  <c r="K106" i="2" s="1"/>
  <c r="H107" i="2" s="1"/>
  <c r="L107" i="2" s="1"/>
  <c r="I108" i="2" s="1"/>
  <c r="G107" i="2" l="1"/>
  <c r="J107" i="2" s="1"/>
  <c r="K107" i="2" s="1"/>
  <c r="H108" i="2" s="1"/>
  <c r="L108" i="2" s="1"/>
  <c r="I109" i="2" s="1"/>
  <c r="G108" i="2" l="1"/>
  <c r="J108" i="2" s="1"/>
  <c r="K108" i="2" l="1"/>
  <c r="H109" i="2" s="1"/>
  <c r="L109" i="2" s="1"/>
  <c r="I110" i="2" s="1"/>
  <c r="G109" i="2"/>
  <c r="J109" i="2" l="1"/>
  <c r="G110" i="2" l="1"/>
  <c r="K109" i="2"/>
  <c r="H110" i="2" s="1"/>
  <c r="L110" i="2" s="1"/>
  <c r="I111" i="2" s="1"/>
  <c r="J110" i="2" l="1"/>
  <c r="K110" i="2" l="1"/>
  <c r="H111" i="2" s="1"/>
  <c r="L111" i="2" s="1"/>
  <c r="I112" i="2" s="1"/>
  <c r="G111" i="2"/>
  <c r="J111" i="2" l="1"/>
  <c r="K111" i="2" l="1"/>
  <c r="H112" i="2" s="1"/>
  <c r="L112" i="2" s="1"/>
  <c r="I113" i="2" s="1"/>
  <c r="G112" i="2"/>
  <c r="J112" i="2" l="1"/>
  <c r="G113" i="2" l="1"/>
  <c r="K112" i="2"/>
  <c r="H113" i="2" s="1"/>
  <c r="L113" i="2" s="1"/>
  <c r="I114" i="2" s="1"/>
  <c r="J113" i="2" l="1"/>
  <c r="G114" i="2" l="1"/>
  <c r="K113" i="2"/>
  <c r="H114" i="2" s="1"/>
  <c r="L114" i="2" s="1"/>
  <c r="I115" i="2" s="1"/>
  <c r="J114" i="2" l="1"/>
  <c r="G115" i="2" l="1"/>
  <c r="K114" i="2"/>
  <c r="H115" i="2" s="1"/>
  <c r="L115" i="2" s="1"/>
  <c r="I116" i="2" s="1"/>
  <c r="J115" i="2" l="1"/>
  <c r="K115" i="2" l="1"/>
  <c r="H116" i="2" s="1"/>
  <c r="L116" i="2" s="1"/>
  <c r="I117" i="2" s="1"/>
  <c r="G116" i="2"/>
  <c r="J116" i="2" l="1"/>
  <c r="K116" i="2" l="1"/>
  <c r="H117" i="2" s="1"/>
  <c r="L117" i="2" s="1"/>
  <c r="I118" i="2" s="1"/>
  <c r="G117" i="2"/>
  <c r="J117" i="2" l="1"/>
  <c r="G118" i="2" l="1"/>
  <c r="K117" i="2"/>
  <c r="H118" i="2" s="1"/>
  <c r="L118" i="2" s="1"/>
  <c r="I119" i="2" s="1"/>
  <c r="J118" i="2" l="1"/>
  <c r="K118" i="2" s="1"/>
  <c r="H119" i="2" s="1"/>
  <c r="L119" i="2" s="1"/>
  <c r="I120" i="2" s="1"/>
  <c r="G119" i="2" l="1"/>
  <c r="J119" i="2" l="1"/>
  <c r="K119" i="2" s="1"/>
  <c r="H120" i="2" s="1"/>
  <c r="L120" i="2" s="1"/>
  <c r="I121" i="2" s="1"/>
  <c r="G120" i="2" l="1"/>
  <c r="J120" i="2" l="1"/>
  <c r="K120" i="2" s="1"/>
  <c r="H121" i="2" s="1"/>
  <c r="L121" i="2" s="1"/>
  <c r="I122" i="2" s="1"/>
  <c r="G121" i="2" l="1"/>
  <c r="J121" i="2" l="1"/>
  <c r="K121" i="2" s="1"/>
  <c r="H122" i="2" s="1"/>
  <c r="L122" i="2" s="1"/>
  <c r="I123" i="2" s="1"/>
  <c r="G122" i="2" l="1"/>
  <c r="J122" i="2" l="1"/>
  <c r="K122" i="2" s="1"/>
  <c r="H123" i="2" s="1"/>
  <c r="L123" i="2" s="1"/>
  <c r="I124" i="2" s="1"/>
  <c r="G123" i="2" l="1"/>
  <c r="J123" i="2" l="1"/>
  <c r="K123" i="2" s="1"/>
  <c r="H124" i="2" s="1"/>
  <c r="L124" i="2" s="1"/>
  <c r="I125" i="2" s="1"/>
  <c r="G124" i="2" l="1"/>
  <c r="J124" i="2" l="1"/>
  <c r="K124" i="2" s="1"/>
  <c r="H125" i="2" s="1"/>
  <c r="L125" i="2" s="1"/>
  <c r="I126" i="2" s="1"/>
  <c r="G125" i="2" l="1"/>
  <c r="J125" i="2" l="1"/>
  <c r="G126" i="2" s="1"/>
  <c r="K125" i="2" l="1"/>
  <c r="H126" i="2" s="1"/>
  <c r="L126" i="2" s="1"/>
  <c r="I127" i="2" s="1"/>
  <c r="J126" i="2" l="1"/>
  <c r="K126" i="2" s="1"/>
  <c r="H127" i="2" s="1"/>
  <c r="L127" i="2" s="1"/>
  <c r="I128" i="2" s="1"/>
  <c r="G127" i="2" l="1"/>
  <c r="J127" i="2" l="1"/>
  <c r="K127" i="2" s="1"/>
  <c r="H128" i="2" s="1"/>
  <c r="L128" i="2" s="1"/>
  <c r="I129" i="2" s="1"/>
  <c r="G128" i="2" l="1"/>
  <c r="J128" i="2" l="1"/>
  <c r="K128" i="2" s="1"/>
  <c r="H129" i="2" s="1"/>
  <c r="L129" i="2" s="1"/>
  <c r="I130" i="2" s="1"/>
  <c r="G129" i="2" l="1"/>
  <c r="J129" i="2" l="1"/>
  <c r="K129" i="2" s="1"/>
  <c r="H130" i="2" s="1"/>
  <c r="L130" i="2" s="1"/>
  <c r="I131" i="2" s="1"/>
  <c r="G130" i="2" l="1"/>
  <c r="J130" i="2"/>
  <c r="K130" i="2" s="1"/>
  <c r="H131" i="2" s="1"/>
  <c r="L131" i="2" s="1"/>
  <c r="I132" i="2" s="1"/>
  <c r="G131" i="2" l="1"/>
  <c r="J131" i="2" l="1"/>
  <c r="K131" i="2" s="1"/>
  <c r="H132" i="2" s="1"/>
  <c r="L132" i="2" s="1"/>
  <c r="I133" i="2" s="1"/>
  <c r="G132" i="2" l="1"/>
  <c r="J132" i="2" l="1"/>
  <c r="K132" i="2" l="1"/>
  <c r="H133" i="2" s="1"/>
  <c r="L133" i="2" s="1"/>
  <c r="I134" i="2" s="1"/>
  <c r="G133" i="2"/>
  <c r="J133" i="2" l="1"/>
  <c r="K133" i="2" l="1"/>
  <c r="H134" i="2" s="1"/>
  <c r="L134" i="2" s="1"/>
  <c r="I135" i="2" s="1"/>
  <c r="G134" i="2"/>
  <c r="J134" i="2" l="1"/>
  <c r="G135" i="2" l="1"/>
  <c r="K134" i="2"/>
  <c r="H135" i="2" s="1"/>
  <c r="L135" i="2" s="1"/>
  <c r="I136" i="2" s="1"/>
  <c r="J135" i="2" l="1"/>
  <c r="K135" i="2" l="1"/>
  <c r="H136" i="2" s="1"/>
  <c r="L136" i="2" s="1"/>
  <c r="I137" i="2" s="1"/>
  <c r="G136" i="2"/>
  <c r="J136" i="2" l="1"/>
  <c r="G137" i="2" l="1"/>
  <c r="K136" i="2"/>
  <c r="H137" i="2" s="1"/>
  <c r="L137" i="2" s="1"/>
  <c r="I138" i="2" s="1"/>
  <c r="J137" i="2" l="1"/>
  <c r="K137" i="2" l="1"/>
  <c r="H138" i="2" s="1"/>
  <c r="L138" i="2" s="1"/>
  <c r="I139" i="2" s="1"/>
  <c r="G138" i="2"/>
  <c r="J138" i="2" l="1"/>
  <c r="K138" i="2" l="1"/>
  <c r="H139" i="2" s="1"/>
  <c r="L139" i="2" s="1"/>
  <c r="I140" i="2" s="1"/>
  <c r="G139" i="2"/>
  <c r="J139" i="2" l="1"/>
  <c r="K139" i="2" l="1"/>
  <c r="H140" i="2" s="1"/>
  <c r="L140" i="2" s="1"/>
  <c r="I141" i="2" s="1"/>
  <c r="G140" i="2"/>
  <c r="J140" i="2" l="1"/>
  <c r="K140" i="2" l="1"/>
  <c r="H141" i="2" s="1"/>
  <c r="L141" i="2" s="1"/>
  <c r="I142" i="2" s="1"/>
  <c r="G141" i="2"/>
  <c r="J141" i="2" l="1"/>
  <c r="K141" i="2" l="1"/>
  <c r="H142" i="2" s="1"/>
  <c r="L142" i="2" s="1"/>
  <c r="I143" i="2" s="1"/>
  <c r="G142" i="2"/>
  <c r="J142" i="2" l="1"/>
  <c r="K142" i="2" s="1"/>
  <c r="H143" i="2" s="1"/>
  <c r="L143" i="2" s="1"/>
  <c r="I144" i="2" s="1"/>
  <c r="G143" i="2" l="1"/>
  <c r="J143" i="2" l="1"/>
  <c r="K143" i="2" s="1"/>
  <c r="H144" i="2" s="1"/>
  <c r="L144" i="2" s="1"/>
  <c r="I145" i="2" s="1"/>
  <c r="G144" i="2" l="1"/>
  <c r="J144" i="2" l="1"/>
  <c r="K144" i="2" s="1"/>
  <c r="H145" i="2" s="1"/>
  <c r="L145" i="2" s="1"/>
  <c r="I146" i="2" s="1"/>
  <c r="G145" i="2" l="1"/>
  <c r="J145" i="2"/>
  <c r="K145" i="2" s="1"/>
  <c r="H146" i="2" s="1"/>
  <c r="L146" i="2" s="1"/>
  <c r="I147" i="2" s="1"/>
  <c r="G146" i="2" l="1"/>
  <c r="J146" i="2"/>
  <c r="K146" i="2" s="1"/>
  <c r="H147" i="2" s="1"/>
  <c r="L147" i="2" s="1"/>
  <c r="I148" i="2" s="1"/>
  <c r="G147" i="2" l="1"/>
  <c r="J147" i="2" l="1"/>
  <c r="K147" i="2" s="1"/>
  <c r="H148" i="2" s="1"/>
  <c r="L148" i="2" s="1"/>
  <c r="I149" i="2" s="1"/>
  <c r="G148" i="2"/>
  <c r="J148" i="2" l="1"/>
  <c r="K148" i="2" s="1"/>
  <c r="H149" i="2" s="1"/>
  <c r="L149" i="2" s="1"/>
  <c r="I150" i="2" s="1"/>
  <c r="G149" i="2" l="1"/>
  <c r="J149" i="2" l="1"/>
  <c r="K149" i="2" s="1"/>
  <c r="H150" i="2" s="1"/>
  <c r="L150" i="2" s="1"/>
  <c r="I151" i="2" s="1"/>
  <c r="G150" i="2" l="1"/>
  <c r="J150" i="2" l="1"/>
  <c r="K150" i="2" s="1"/>
  <c r="H151" i="2" s="1"/>
  <c r="L151" i="2" s="1"/>
  <c r="I152" i="2" s="1"/>
  <c r="G151" i="2" l="1"/>
  <c r="J151" i="2" l="1"/>
  <c r="K151" i="2" s="1"/>
  <c r="H152" i="2" s="1"/>
  <c r="L152" i="2" s="1"/>
  <c r="I153" i="2" s="1"/>
  <c r="G152" i="2" l="1"/>
  <c r="J152" i="2" l="1"/>
  <c r="K152" i="2" s="1"/>
  <c r="H153" i="2" s="1"/>
  <c r="L153" i="2" s="1"/>
  <c r="I154" i="2" s="1"/>
  <c r="G153" i="2" l="1"/>
  <c r="J153" i="2" l="1"/>
  <c r="K153" i="2" s="1"/>
  <c r="H154" i="2" s="1"/>
  <c r="L154" i="2" s="1"/>
  <c r="I155" i="2" s="1"/>
  <c r="G154" i="2" l="1"/>
  <c r="J154" i="2" l="1"/>
  <c r="K154" i="2" s="1"/>
  <c r="H155" i="2" s="1"/>
  <c r="L155" i="2" s="1"/>
  <c r="I156" i="2" s="1"/>
  <c r="G155" i="2" l="1"/>
  <c r="J155" i="2" l="1"/>
  <c r="K155" i="2" s="1"/>
  <c r="H156" i="2" s="1"/>
  <c r="L156" i="2" s="1"/>
  <c r="I157" i="2" s="1"/>
  <c r="G156" i="2" l="1"/>
  <c r="J156" i="2" l="1"/>
  <c r="K156" i="2" s="1"/>
  <c r="H157" i="2" s="1"/>
  <c r="L157" i="2" s="1"/>
  <c r="I158" i="2" s="1"/>
  <c r="G157" i="2" l="1"/>
  <c r="J157" i="2" l="1"/>
  <c r="K157" i="2" s="1"/>
  <c r="H158" i="2" s="1"/>
  <c r="L158" i="2" s="1"/>
  <c r="I159" i="2" s="1"/>
  <c r="G158" i="2" l="1"/>
  <c r="J158" i="2" l="1"/>
  <c r="K158" i="2" s="1"/>
  <c r="H159" i="2" s="1"/>
  <c r="L159" i="2" s="1"/>
  <c r="I160" i="2" s="1"/>
  <c r="G159" i="2" l="1"/>
  <c r="J159" i="2" l="1"/>
  <c r="K159" i="2" s="1"/>
  <c r="H160" i="2" s="1"/>
  <c r="L160" i="2" s="1"/>
  <c r="I161" i="2" s="1"/>
  <c r="G160" i="2" l="1"/>
  <c r="J160" i="2" l="1"/>
  <c r="K160" i="2" s="1"/>
  <c r="H161" i="2" s="1"/>
  <c r="L161" i="2" s="1"/>
  <c r="I162" i="2" s="1"/>
  <c r="G161" i="2" l="1"/>
  <c r="J161" i="2" l="1"/>
  <c r="K161" i="2" s="1"/>
  <c r="H162" i="2" s="1"/>
  <c r="L162" i="2" s="1"/>
  <c r="I163" i="2" s="1"/>
  <c r="G162" i="2" l="1"/>
  <c r="J162" i="2" l="1"/>
  <c r="K162" i="2" s="1"/>
  <c r="H163" i="2" s="1"/>
  <c r="L163" i="2" s="1"/>
  <c r="I164" i="2" s="1"/>
  <c r="G163" i="2" l="1"/>
  <c r="J163" i="2" l="1"/>
  <c r="K163" i="2" s="1"/>
  <c r="H164" i="2" s="1"/>
  <c r="L164" i="2" s="1"/>
  <c r="I165" i="2" s="1"/>
  <c r="G164" i="2" l="1"/>
  <c r="J164" i="2" l="1"/>
  <c r="K164" i="2" s="1"/>
  <c r="H165" i="2" s="1"/>
  <c r="L165" i="2" s="1"/>
  <c r="I166" i="2" s="1"/>
  <c r="G165" i="2" l="1"/>
  <c r="J165" i="2" l="1"/>
  <c r="K165" i="2" s="1"/>
  <c r="H166" i="2" s="1"/>
  <c r="L166" i="2" s="1"/>
  <c r="I167" i="2" s="1"/>
  <c r="G166" i="2" l="1"/>
  <c r="J166" i="2" l="1"/>
  <c r="K166" i="2" s="1"/>
  <c r="H167" i="2" s="1"/>
  <c r="L167" i="2" s="1"/>
  <c r="I168" i="2" s="1"/>
  <c r="G167" i="2" l="1"/>
  <c r="J167" i="2" l="1"/>
  <c r="K167" i="2" s="1"/>
  <c r="H168" i="2" s="1"/>
  <c r="L168" i="2" s="1"/>
  <c r="I169" i="2" s="1"/>
  <c r="G168" i="2" l="1"/>
  <c r="J168" i="2" l="1"/>
  <c r="K168" i="2" s="1"/>
  <c r="H169" i="2" s="1"/>
  <c r="L169" i="2" s="1"/>
  <c r="I170" i="2" s="1"/>
  <c r="G169" i="2" l="1"/>
  <c r="J169" i="2" l="1"/>
  <c r="K169" i="2" s="1"/>
  <c r="H170" i="2" s="1"/>
  <c r="L170" i="2" s="1"/>
  <c r="I171" i="2" s="1"/>
  <c r="G170" i="2" l="1"/>
  <c r="J170" i="2" l="1"/>
  <c r="K170" i="2" s="1"/>
  <c r="H171" i="2" s="1"/>
  <c r="L171" i="2" s="1"/>
  <c r="I172" i="2" s="1"/>
  <c r="G171" i="2" l="1"/>
  <c r="J171" i="2" l="1"/>
  <c r="K171" i="2" s="1"/>
  <c r="H172" i="2" s="1"/>
  <c r="L172" i="2" s="1"/>
  <c r="I173" i="2" s="1"/>
  <c r="G172" i="2" l="1"/>
  <c r="J172" i="2" l="1"/>
  <c r="K172" i="2" s="1"/>
  <c r="H173" i="2" s="1"/>
  <c r="L173" i="2" s="1"/>
  <c r="I174" i="2" s="1"/>
  <c r="G173" i="2" l="1"/>
  <c r="J173" i="2"/>
  <c r="K173" i="2" s="1"/>
  <c r="H174" i="2" s="1"/>
  <c r="L174" i="2" l="1"/>
  <c r="I175" i="2" s="1"/>
  <c r="G174" i="2"/>
  <c r="J174" i="2" l="1"/>
  <c r="K174" i="2" s="1"/>
  <c r="H175" i="2" s="1"/>
  <c r="L175" i="2" l="1"/>
  <c r="I176" i="2" s="1"/>
  <c r="G175" i="2"/>
  <c r="J175" i="2" l="1"/>
  <c r="K175" i="2" s="1"/>
  <c r="H176" i="2" s="1"/>
  <c r="L176" i="2" l="1"/>
  <c r="I177" i="2" s="1"/>
  <c r="G176" i="2"/>
  <c r="J176" i="2" l="1"/>
  <c r="K176" i="2" s="1"/>
  <c r="H177" i="2" s="1"/>
  <c r="L177" i="2" l="1"/>
  <c r="I178" i="2" s="1"/>
  <c r="G177" i="2"/>
  <c r="J177" i="2" l="1"/>
  <c r="K177" i="2" s="1"/>
  <c r="H178" i="2" s="1"/>
  <c r="L178" i="2" l="1"/>
  <c r="I179" i="2" s="1"/>
  <c r="G178" i="2"/>
  <c r="J178" i="2" l="1"/>
  <c r="K178" i="2" s="1"/>
  <c r="H179" i="2" s="1"/>
  <c r="L179" i="2" l="1"/>
  <c r="I180" i="2" s="1"/>
  <c r="G179" i="2"/>
  <c r="J179" i="2" l="1"/>
  <c r="K179" i="2" s="1"/>
  <c r="H180" i="2" s="1"/>
  <c r="L180" i="2" l="1"/>
  <c r="I181" i="2" s="1"/>
  <c r="G180" i="2"/>
  <c r="J180" i="2" l="1"/>
  <c r="K180" i="2" s="1"/>
  <c r="H181" i="2" s="1"/>
  <c r="L181" i="2" l="1"/>
  <c r="I182" i="2" s="1"/>
  <c r="G181" i="2"/>
  <c r="J181" i="2" l="1"/>
  <c r="K181" i="2" s="1"/>
  <c r="H182" i="2" s="1"/>
  <c r="L182" i="2" l="1"/>
  <c r="I183" i="2" s="1"/>
  <c r="G182" i="2"/>
  <c r="J182" i="2" l="1"/>
  <c r="K182" i="2" s="1"/>
  <c r="H183" i="2" s="1"/>
  <c r="L183" i="2" l="1"/>
  <c r="I184" i="2" s="1"/>
  <c r="G183" i="2"/>
  <c r="J183" i="2" l="1"/>
  <c r="K183" i="2" s="1"/>
  <c r="H184" i="2" s="1"/>
  <c r="L184" i="2" l="1"/>
  <c r="I185" i="2" s="1"/>
  <c r="G184" i="2"/>
  <c r="J184" i="2" l="1"/>
  <c r="K184" i="2" s="1"/>
  <c r="H185" i="2" s="1"/>
  <c r="L185" i="2" l="1"/>
  <c r="I186" i="2" s="1"/>
  <c r="G185" i="2"/>
  <c r="J185" i="2" l="1"/>
  <c r="K185" i="2" s="1"/>
  <c r="H186" i="2" s="1"/>
  <c r="L186" i="2" l="1"/>
  <c r="I187" i="2" s="1"/>
  <c r="G186" i="2"/>
  <c r="J186" i="2" l="1"/>
  <c r="K186" i="2" s="1"/>
  <c r="H187" i="2" s="1"/>
  <c r="L187" i="2" l="1"/>
  <c r="I188" i="2" s="1"/>
  <c r="G187" i="2"/>
  <c r="J187" i="2" l="1"/>
  <c r="K187" i="2" s="1"/>
  <c r="H188" i="2" s="1"/>
  <c r="L188" i="2" l="1"/>
  <c r="I189" i="2" s="1"/>
  <c r="G188" i="2"/>
  <c r="J188" i="2" l="1"/>
  <c r="K188" i="2" s="1"/>
  <c r="H189" i="2" s="1"/>
  <c r="L189" i="2" l="1"/>
  <c r="I190" i="2" s="1"/>
  <c r="G189" i="2"/>
  <c r="J189" i="2" l="1"/>
  <c r="K189" i="2" s="1"/>
  <c r="H190" i="2" s="1"/>
  <c r="L190" i="2" l="1"/>
  <c r="I191" i="2" s="1"/>
  <c r="G190" i="2"/>
  <c r="J190" i="2" l="1"/>
  <c r="K190" i="2" s="1"/>
  <c r="H191" i="2" s="1"/>
  <c r="L191" i="2" l="1"/>
  <c r="I192" i="2" s="1"/>
  <c r="G191" i="2"/>
  <c r="J191" i="2" l="1"/>
  <c r="K191" i="2" s="1"/>
  <c r="H192" i="2" s="1"/>
  <c r="L192" i="2" l="1"/>
  <c r="I193" i="2" s="1"/>
  <c r="G192" i="2"/>
  <c r="J192" i="2" l="1"/>
  <c r="K192" i="2" s="1"/>
  <c r="H193" i="2" s="1"/>
  <c r="L193" i="2" l="1"/>
  <c r="I194" i="2" s="1"/>
  <c r="G193" i="2"/>
  <c r="J193" i="2" l="1"/>
  <c r="K193" i="2" s="1"/>
  <c r="H194" i="2" s="1"/>
  <c r="L194" i="2" l="1"/>
  <c r="I195" i="2" s="1"/>
  <c r="G194" i="2"/>
  <c r="J194" i="2" l="1"/>
  <c r="K194" i="2" s="1"/>
  <c r="H195" i="2" s="1"/>
  <c r="L195" i="2" l="1"/>
  <c r="I196" i="2" s="1"/>
  <c r="G195" i="2"/>
  <c r="J195" i="2" l="1"/>
  <c r="K195" i="2" s="1"/>
  <c r="H196" i="2" s="1"/>
  <c r="L196" i="2" l="1"/>
  <c r="I197" i="2" s="1"/>
  <c r="G196" i="2"/>
  <c r="J196" i="2" l="1"/>
  <c r="K196" i="2" s="1"/>
  <c r="H197" i="2" s="1"/>
  <c r="L197" i="2" l="1"/>
  <c r="I198" i="2" s="1"/>
  <c r="G197" i="2"/>
  <c r="J197" i="2" l="1"/>
  <c r="K197" i="2" s="1"/>
  <c r="H198" i="2" s="1"/>
  <c r="L198" i="2" l="1"/>
  <c r="I199" i="2" s="1"/>
  <c r="G198" i="2"/>
  <c r="J198" i="2" l="1"/>
  <c r="K198" i="2" s="1"/>
  <c r="H199" i="2" s="1"/>
  <c r="L199" i="2" l="1"/>
  <c r="I200" i="2" s="1"/>
  <c r="G199" i="2"/>
  <c r="J199" i="2" l="1"/>
  <c r="K199" i="2" s="1"/>
  <c r="H200" i="2" s="1"/>
  <c r="L200" i="2" l="1"/>
  <c r="I201" i="2" s="1"/>
  <c r="G200" i="2"/>
  <c r="J200" i="2" l="1"/>
  <c r="K200" i="2" s="1"/>
  <c r="H201" i="2" s="1"/>
  <c r="L201" i="2" l="1"/>
  <c r="I202" i="2" s="1"/>
  <c r="G201" i="2"/>
  <c r="J201" i="2" l="1"/>
  <c r="K201" i="2" s="1"/>
  <c r="H202" i="2" s="1"/>
  <c r="L202" i="2" l="1"/>
  <c r="I203" i="2" s="1"/>
  <c r="G202" i="2"/>
  <c r="J202" i="2" l="1"/>
  <c r="K202" i="2" s="1"/>
  <c r="H203" i="2" s="1"/>
  <c r="L203" i="2" l="1"/>
  <c r="I204" i="2" s="1"/>
  <c r="G203" i="2"/>
  <c r="J203" i="2" l="1"/>
  <c r="K203" i="2" s="1"/>
  <c r="H204" i="2" s="1"/>
  <c r="L204" i="2" l="1"/>
  <c r="I205" i="2" s="1"/>
  <c r="G204" i="2"/>
  <c r="J204" i="2" l="1"/>
  <c r="K204" i="2" s="1"/>
  <c r="H205" i="2" s="1"/>
  <c r="L205" i="2" l="1"/>
  <c r="I206" i="2" s="1"/>
  <c r="G205" i="2"/>
  <c r="J205" i="2" l="1"/>
  <c r="K205" i="2" s="1"/>
  <c r="H206" i="2" s="1"/>
  <c r="L206" i="2" l="1"/>
  <c r="I207" i="2" s="1"/>
  <c r="G206" i="2"/>
  <c r="J206" i="2" l="1"/>
  <c r="K206" i="2" s="1"/>
  <c r="H207" i="2" s="1"/>
  <c r="L207" i="2" l="1"/>
  <c r="I208" i="2" s="1"/>
  <c r="G207" i="2"/>
  <c r="J207" i="2" l="1"/>
  <c r="K207" i="2" s="1"/>
  <c r="H208" i="2" s="1"/>
  <c r="L208" i="2" l="1"/>
  <c r="I209" i="2" s="1"/>
  <c r="G208" i="2"/>
  <c r="J208" i="2" l="1"/>
  <c r="K208" i="2" s="1"/>
  <c r="H209" i="2" s="1"/>
  <c r="L209" i="2" l="1"/>
  <c r="I210" i="2" s="1"/>
  <c r="G209" i="2"/>
  <c r="J209" i="2" l="1"/>
  <c r="K209" i="2" s="1"/>
  <c r="H210" i="2" s="1"/>
  <c r="L210" i="2" l="1"/>
  <c r="I211" i="2" s="1"/>
  <c r="G210" i="2"/>
  <c r="J210" i="2" l="1"/>
  <c r="K210" i="2" s="1"/>
  <c r="H211" i="2" s="1"/>
  <c r="L211" i="2" l="1"/>
  <c r="I212" i="2" s="1"/>
  <c r="G211" i="2"/>
  <c r="J211" i="2" l="1"/>
  <c r="K211" i="2" s="1"/>
  <c r="H212" i="2" s="1"/>
  <c r="L212" i="2" l="1"/>
  <c r="I213" i="2" s="1"/>
  <c r="G212" i="2"/>
  <c r="J212" i="2" l="1"/>
  <c r="K212" i="2" s="1"/>
  <c r="H213" i="2" s="1"/>
  <c r="L213" i="2" l="1"/>
  <c r="I214" i="2" s="1"/>
  <c r="G213" i="2"/>
  <c r="J213" i="2" l="1"/>
  <c r="K213" i="2" s="1"/>
  <c r="H214" i="2" s="1"/>
  <c r="L214" i="2" l="1"/>
  <c r="I215" i="2" s="1"/>
  <c r="G214" i="2"/>
  <c r="J214" i="2" l="1"/>
  <c r="K214" i="2" s="1"/>
  <c r="H215" i="2" s="1"/>
  <c r="L215" i="2" l="1"/>
  <c r="I216" i="2" s="1"/>
  <c r="G215" i="2"/>
  <c r="J215" i="2" l="1"/>
  <c r="K215" i="2" s="1"/>
  <c r="H216" i="2" s="1"/>
  <c r="L216" i="2" l="1"/>
  <c r="I217" i="2" s="1"/>
  <c r="G216" i="2"/>
  <c r="J216" i="2" l="1"/>
  <c r="K216" i="2" s="1"/>
  <c r="H217" i="2" s="1"/>
  <c r="L217" i="2" l="1"/>
  <c r="I218" i="2" s="1"/>
  <c r="G217" i="2"/>
  <c r="J217" i="2" l="1"/>
  <c r="K217" i="2" s="1"/>
  <c r="H218" i="2" s="1"/>
  <c r="L218" i="2" l="1"/>
  <c r="I219" i="2" s="1"/>
  <c r="G218" i="2"/>
  <c r="J218" i="2" l="1"/>
  <c r="K218" i="2" s="1"/>
  <c r="H219" i="2" s="1"/>
  <c r="L219" i="2" s="1"/>
  <c r="G219" i="2" l="1"/>
  <c r="J219" i="2" l="1"/>
  <c r="K219" i="2" s="1"/>
</calcChain>
</file>

<file path=xl/sharedStrings.xml><?xml version="1.0" encoding="utf-8"?>
<sst xmlns="http://schemas.openxmlformats.org/spreadsheetml/2006/main" count="28" uniqueCount="28">
  <si>
    <t>t</t>
  </si>
  <si>
    <t>beta</t>
  </si>
  <si>
    <t>gamma</t>
  </si>
  <si>
    <t>S</t>
  </si>
  <si>
    <t>I</t>
  </si>
  <si>
    <t>R</t>
  </si>
  <si>
    <t>N</t>
  </si>
  <si>
    <t>dS</t>
  </si>
  <si>
    <t>dI</t>
  </si>
  <si>
    <t>dR</t>
  </si>
  <si>
    <t>infection rate</t>
  </si>
  <si>
    <t>new cases</t>
  </si>
  <si>
    <t>total cases</t>
  </si>
  <si>
    <t>R0</t>
  </si>
  <si>
    <t>NCR pop</t>
  </si>
  <si>
    <t>Instructions: The data shown is for Covid-19 in Metro Manila, with an estimated population of N = 13,473,665</t>
  </si>
  <si>
    <t>in 2020. The data covers June 1 to Dec 31, 2020 and shows new infections and total cases but does not show</t>
  </si>
  <si>
    <t>deaths. The assumed recovery period was 14 days, thus gamma = 1/14. Assuming no deaths and that all</t>
  </si>
  <si>
    <t>cases automatically recover after 14 days, and no incubation period thus SIR model can be used short term,</t>
  </si>
  <si>
    <t>1. Use a 7-day moving average on new cases with smoothing at end points that preserve total cases</t>
  </si>
  <si>
    <t>2. Assuming gamma = 1/14 is fixed, vary the infection rate to try to model the disease using SIR</t>
  </si>
  <si>
    <t>(Note that S, I and R may not all be present in the given data set of new cases and total cases, and you may</t>
  </si>
  <si>
    <t>need to treat the data set to convert it into a form similar to either S, I or R)</t>
  </si>
  <si>
    <t>4. If modeling is difficult, you can also modify the effective N as a fraction of the total population</t>
  </si>
  <si>
    <t>3. Given the disease, what are you trying to model? I.e. which data set represents S, I or R?</t>
  </si>
  <si>
    <t>7 day moving average</t>
  </si>
  <si>
    <t>total</t>
  </si>
  <si>
    <t>modelled new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</si>
</sst>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New</a:t>
            </a:r>
            <a:r>
              <a:rPr lang="en-PH" baseline="0"/>
              <a:t> Cases with 7-Day Moving Average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Epidemic!$C$5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Epidemic!$C$6:$C$219</c:f>
              <c:numCache>
                <c:formatCode>General</c:formatCode>
                <c:ptCount val="214"/>
                <c:pt idx="0">
                  <c:v>212</c:v>
                </c:pt>
                <c:pt idx="1">
                  <c:v>163</c:v>
                </c:pt>
                <c:pt idx="2">
                  <c:v>260</c:v>
                </c:pt>
                <c:pt idx="3">
                  <c:v>266</c:v>
                </c:pt>
                <c:pt idx="4">
                  <c:v>48</c:v>
                </c:pt>
                <c:pt idx="5">
                  <c:v>290</c:v>
                </c:pt>
                <c:pt idx="6">
                  <c:v>172</c:v>
                </c:pt>
                <c:pt idx="7">
                  <c:v>255</c:v>
                </c:pt>
                <c:pt idx="8">
                  <c:v>222</c:v>
                </c:pt>
                <c:pt idx="9">
                  <c:v>240</c:v>
                </c:pt>
                <c:pt idx="10">
                  <c:v>182</c:v>
                </c:pt>
                <c:pt idx="11">
                  <c:v>292</c:v>
                </c:pt>
                <c:pt idx="12">
                  <c:v>287</c:v>
                </c:pt>
                <c:pt idx="13">
                  <c:v>264</c:v>
                </c:pt>
                <c:pt idx="14">
                  <c:v>221</c:v>
                </c:pt>
                <c:pt idx="15">
                  <c:v>192</c:v>
                </c:pt>
                <c:pt idx="16">
                  <c:v>199</c:v>
                </c:pt>
                <c:pt idx="17">
                  <c:v>190</c:v>
                </c:pt>
                <c:pt idx="18">
                  <c:v>287</c:v>
                </c:pt>
                <c:pt idx="19">
                  <c:v>301</c:v>
                </c:pt>
                <c:pt idx="20">
                  <c:v>269</c:v>
                </c:pt>
                <c:pt idx="21">
                  <c:v>179</c:v>
                </c:pt>
                <c:pt idx="22">
                  <c:v>479</c:v>
                </c:pt>
                <c:pt idx="23">
                  <c:v>249</c:v>
                </c:pt>
                <c:pt idx="24">
                  <c:v>466</c:v>
                </c:pt>
                <c:pt idx="25">
                  <c:v>391</c:v>
                </c:pt>
                <c:pt idx="26">
                  <c:v>322</c:v>
                </c:pt>
                <c:pt idx="27">
                  <c:v>367</c:v>
                </c:pt>
                <c:pt idx="28">
                  <c:v>550</c:v>
                </c:pt>
                <c:pt idx="29">
                  <c:v>346</c:v>
                </c:pt>
                <c:pt idx="30">
                  <c:v>349</c:v>
                </c:pt>
                <c:pt idx="31">
                  <c:v>123</c:v>
                </c:pt>
                <c:pt idx="32">
                  <c:v>666</c:v>
                </c:pt>
                <c:pt idx="33">
                  <c:v>636</c:v>
                </c:pt>
                <c:pt idx="34">
                  <c:v>1178</c:v>
                </c:pt>
                <c:pt idx="35">
                  <c:v>1014</c:v>
                </c:pt>
                <c:pt idx="36">
                  <c:v>863</c:v>
                </c:pt>
                <c:pt idx="37">
                  <c:v>1356</c:v>
                </c:pt>
                <c:pt idx="38">
                  <c:v>625</c:v>
                </c:pt>
                <c:pt idx="39">
                  <c:v>689</c:v>
                </c:pt>
                <c:pt idx="40">
                  <c:v>782</c:v>
                </c:pt>
                <c:pt idx="41">
                  <c:v>1131</c:v>
                </c:pt>
                <c:pt idx="42">
                  <c:v>522</c:v>
                </c:pt>
                <c:pt idx="43">
                  <c:v>345</c:v>
                </c:pt>
                <c:pt idx="44">
                  <c:v>602</c:v>
                </c:pt>
                <c:pt idx="45">
                  <c:v>1647</c:v>
                </c:pt>
                <c:pt idx="46">
                  <c:v>970</c:v>
                </c:pt>
                <c:pt idx="47">
                  <c:v>1585</c:v>
                </c:pt>
                <c:pt idx="48">
                  <c:v>1474</c:v>
                </c:pt>
                <c:pt idx="49">
                  <c:v>1155</c:v>
                </c:pt>
                <c:pt idx="50">
                  <c:v>1336</c:v>
                </c:pt>
                <c:pt idx="51">
                  <c:v>763</c:v>
                </c:pt>
                <c:pt idx="52">
                  <c:v>1286</c:v>
                </c:pt>
                <c:pt idx="53">
                  <c:v>1150</c:v>
                </c:pt>
                <c:pt idx="54">
                  <c:v>990</c:v>
                </c:pt>
                <c:pt idx="55">
                  <c:v>1137</c:v>
                </c:pt>
                <c:pt idx="56">
                  <c:v>1029</c:v>
                </c:pt>
                <c:pt idx="57">
                  <c:v>782</c:v>
                </c:pt>
                <c:pt idx="58">
                  <c:v>793</c:v>
                </c:pt>
                <c:pt idx="59">
                  <c:v>1872</c:v>
                </c:pt>
                <c:pt idx="60">
                  <c:v>2270</c:v>
                </c:pt>
                <c:pt idx="61">
                  <c:v>2604</c:v>
                </c:pt>
                <c:pt idx="62">
                  <c:v>2661</c:v>
                </c:pt>
                <c:pt idx="63">
                  <c:v>1534</c:v>
                </c:pt>
                <c:pt idx="64">
                  <c:v>2963</c:v>
                </c:pt>
                <c:pt idx="65">
                  <c:v>2370</c:v>
                </c:pt>
                <c:pt idx="66">
                  <c:v>1995</c:v>
                </c:pt>
                <c:pt idx="67">
                  <c:v>1805</c:v>
                </c:pt>
                <c:pt idx="68">
                  <c:v>2687</c:v>
                </c:pt>
                <c:pt idx="69">
                  <c:v>1654</c:v>
                </c:pt>
                <c:pt idx="70">
                  <c:v>4162</c:v>
                </c:pt>
                <c:pt idx="71">
                  <c:v>1453</c:v>
                </c:pt>
                <c:pt idx="72">
                  <c:v>2519</c:v>
                </c:pt>
                <c:pt idx="73">
                  <c:v>2395</c:v>
                </c:pt>
                <c:pt idx="74">
                  <c:v>3787</c:v>
                </c:pt>
                <c:pt idx="75">
                  <c:v>2425</c:v>
                </c:pt>
                <c:pt idx="76">
                  <c:v>2017</c:v>
                </c:pt>
                <c:pt idx="77">
                  <c:v>1897</c:v>
                </c:pt>
                <c:pt idx="78">
                  <c:v>2912</c:v>
                </c:pt>
                <c:pt idx="79">
                  <c:v>3009</c:v>
                </c:pt>
                <c:pt idx="80">
                  <c:v>2514</c:v>
                </c:pt>
                <c:pt idx="81">
                  <c:v>2671</c:v>
                </c:pt>
                <c:pt idx="82">
                  <c:v>2792</c:v>
                </c:pt>
                <c:pt idx="83">
                  <c:v>1010</c:v>
                </c:pt>
                <c:pt idx="84">
                  <c:v>2467</c:v>
                </c:pt>
                <c:pt idx="85">
                  <c:v>1573</c:v>
                </c:pt>
                <c:pt idx="86">
                  <c:v>3099</c:v>
                </c:pt>
                <c:pt idx="87">
                  <c:v>1563</c:v>
                </c:pt>
                <c:pt idx="88">
                  <c:v>2067</c:v>
                </c:pt>
                <c:pt idx="89">
                  <c:v>1991</c:v>
                </c:pt>
                <c:pt idx="90">
                  <c:v>2185</c:v>
                </c:pt>
                <c:pt idx="91">
                  <c:v>1880</c:v>
                </c:pt>
                <c:pt idx="92">
                  <c:v>1796</c:v>
                </c:pt>
                <c:pt idx="93">
                  <c:v>1141</c:v>
                </c:pt>
                <c:pt idx="94">
                  <c:v>779</c:v>
                </c:pt>
                <c:pt idx="95">
                  <c:v>1772</c:v>
                </c:pt>
                <c:pt idx="96">
                  <c:v>1141</c:v>
                </c:pt>
                <c:pt idx="97">
                  <c:v>1137</c:v>
                </c:pt>
                <c:pt idx="98">
                  <c:v>511</c:v>
                </c:pt>
                <c:pt idx="99">
                  <c:v>1421</c:v>
                </c:pt>
                <c:pt idx="100">
                  <c:v>1465</c:v>
                </c:pt>
                <c:pt idx="101">
                  <c:v>2136</c:v>
                </c:pt>
                <c:pt idx="102">
                  <c:v>1798</c:v>
                </c:pt>
                <c:pt idx="103">
                  <c:v>2616</c:v>
                </c:pt>
                <c:pt idx="104">
                  <c:v>1475</c:v>
                </c:pt>
                <c:pt idx="105">
                  <c:v>2501</c:v>
                </c:pt>
                <c:pt idx="106">
                  <c:v>1734</c:v>
                </c:pt>
                <c:pt idx="107">
                  <c:v>1608</c:v>
                </c:pt>
                <c:pt idx="108">
                  <c:v>1256</c:v>
                </c:pt>
                <c:pt idx="109">
                  <c:v>1329</c:v>
                </c:pt>
                <c:pt idx="110">
                  <c:v>1459</c:v>
                </c:pt>
                <c:pt idx="111">
                  <c:v>1318</c:v>
                </c:pt>
                <c:pt idx="112">
                  <c:v>1240</c:v>
                </c:pt>
                <c:pt idx="113">
                  <c:v>559</c:v>
                </c:pt>
                <c:pt idx="114">
                  <c:v>1184</c:v>
                </c:pt>
                <c:pt idx="115">
                  <c:v>772</c:v>
                </c:pt>
                <c:pt idx="116">
                  <c:v>1057</c:v>
                </c:pt>
                <c:pt idx="117">
                  <c:v>1104</c:v>
                </c:pt>
                <c:pt idx="118">
                  <c:v>1041</c:v>
                </c:pt>
                <c:pt idx="119">
                  <c:v>1145</c:v>
                </c:pt>
                <c:pt idx="120">
                  <c:v>593</c:v>
                </c:pt>
                <c:pt idx="121">
                  <c:v>863</c:v>
                </c:pt>
                <c:pt idx="122">
                  <c:v>907</c:v>
                </c:pt>
                <c:pt idx="123">
                  <c:v>1060</c:v>
                </c:pt>
                <c:pt idx="124">
                  <c:v>1035</c:v>
                </c:pt>
                <c:pt idx="125">
                  <c:v>1243</c:v>
                </c:pt>
                <c:pt idx="126">
                  <c:v>800</c:v>
                </c:pt>
                <c:pt idx="127">
                  <c:v>539</c:v>
                </c:pt>
                <c:pt idx="128">
                  <c:v>1004</c:v>
                </c:pt>
                <c:pt idx="129">
                  <c:v>850</c:v>
                </c:pt>
                <c:pt idx="130">
                  <c:v>1077</c:v>
                </c:pt>
                <c:pt idx="131">
                  <c:v>640</c:v>
                </c:pt>
                <c:pt idx="132">
                  <c:v>772</c:v>
                </c:pt>
                <c:pt idx="133">
                  <c:v>1332</c:v>
                </c:pt>
                <c:pt idx="134">
                  <c:v>581</c:v>
                </c:pt>
                <c:pt idx="135">
                  <c:v>617</c:v>
                </c:pt>
                <c:pt idx="136">
                  <c:v>563</c:v>
                </c:pt>
                <c:pt idx="137">
                  <c:v>959</c:v>
                </c:pt>
                <c:pt idx="138">
                  <c:v>734</c:v>
                </c:pt>
                <c:pt idx="139">
                  <c:v>803</c:v>
                </c:pt>
                <c:pt idx="140">
                  <c:v>775</c:v>
                </c:pt>
                <c:pt idx="141">
                  <c:v>399</c:v>
                </c:pt>
                <c:pt idx="142">
                  <c:v>372</c:v>
                </c:pt>
                <c:pt idx="143">
                  <c:v>492</c:v>
                </c:pt>
                <c:pt idx="144">
                  <c:v>495</c:v>
                </c:pt>
                <c:pt idx="145">
                  <c:v>556</c:v>
                </c:pt>
                <c:pt idx="146">
                  <c:v>568</c:v>
                </c:pt>
                <c:pt idx="147">
                  <c:v>390</c:v>
                </c:pt>
                <c:pt idx="148">
                  <c:v>354</c:v>
                </c:pt>
                <c:pt idx="149">
                  <c:v>561</c:v>
                </c:pt>
                <c:pt idx="150">
                  <c:v>496</c:v>
                </c:pt>
                <c:pt idx="151">
                  <c:v>549</c:v>
                </c:pt>
                <c:pt idx="152">
                  <c:v>478</c:v>
                </c:pt>
                <c:pt idx="153">
                  <c:v>598</c:v>
                </c:pt>
                <c:pt idx="154">
                  <c:v>632</c:v>
                </c:pt>
                <c:pt idx="155">
                  <c:v>409</c:v>
                </c:pt>
                <c:pt idx="156">
                  <c:v>214</c:v>
                </c:pt>
                <c:pt idx="157">
                  <c:v>570</c:v>
                </c:pt>
                <c:pt idx="158">
                  <c:v>529</c:v>
                </c:pt>
                <c:pt idx="159">
                  <c:v>554</c:v>
                </c:pt>
                <c:pt idx="160">
                  <c:v>666</c:v>
                </c:pt>
                <c:pt idx="161">
                  <c:v>473</c:v>
                </c:pt>
                <c:pt idx="162">
                  <c:v>364</c:v>
                </c:pt>
                <c:pt idx="163">
                  <c:v>393</c:v>
                </c:pt>
                <c:pt idx="164">
                  <c:v>315</c:v>
                </c:pt>
                <c:pt idx="165">
                  <c:v>391</c:v>
                </c:pt>
                <c:pt idx="166">
                  <c:v>343</c:v>
                </c:pt>
                <c:pt idx="167">
                  <c:v>431</c:v>
                </c:pt>
                <c:pt idx="168">
                  <c:v>349</c:v>
                </c:pt>
                <c:pt idx="169">
                  <c:v>231</c:v>
                </c:pt>
                <c:pt idx="170">
                  <c:v>347</c:v>
                </c:pt>
                <c:pt idx="171">
                  <c:v>307</c:v>
                </c:pt>
                <c:pt idx="172">
                  <c:v>357</c:v>
                </c:pt>
                <c:pt idx="173">
                  <c:v>332</c:v>
                </c:pt>
                <c:pt idx="174">
                  <c:v>512</c:v>
                </c:pt>
                <c:pt idx="175">
                  <c:v>463</c:v>
                </c:pt>
                <c:pt idx="176">
                  <c:v>270</c:v>
                </c:pt>
                <c:pt idx="177">
                  <c:v>314</c:v>
                </c:pt>
                <c:pt idx="178">
                  <c:v>318</c:v>
                </c:pt>
                <c:pt idx="179">
                  <c:v>541</c:v>
                </c:pt>
                <c:pt idx="180">
                  <c:v>396</c:v>
                </c:pt>
                <c:pt idx="181">
                  <c:v>592</c:v>
                </c:pt>
                <c:pt idx="182">
                  <c:v>418</c:v>
                </c:pt>
                <c:pt idx="183">
                  <c:v>288</c:v>
                </c:pt>
                <c:pt idx="184">
                  <c:v>362</c:v>
                </c:pt>
                <c:pt idx="185">
                  <c:v>300</c:v>
                </c:pt>
                <c:pt idx="186">
                  <c:v>232</c:v>
                </c:pt>
                <c:pt idx="187">
                  <c:v>440</c:v>
                </c:pt>
                <c:pt idx="188">
                  <c:v>484</c:v>
                </c:pt>
                <c:pt idx="189">
                  <c:v>386</c:v>
                </c:pt>
                <c:pt idx="190">
                  <c:v>324</c:v>
                </c:pt>
                <c:pt idx="191">
                  <c:v>354</c:v>
                </c:pt>
                <c:pt idx="192">
                  <c:v>333</c:v>
                </c:pt>
                <c:pt idx="193">
                  <c:v>307</c:v>
                </c:pt>
                <c:pt idx="194">
                  <c:v>353</c:v>
                </c:pt>
                <c:pt idx="195">
                  <c:v>374</c:v>
                </c:pt>
                <c:pt idx="196">
                  <c:v>525</c:v>
                </c:pt>
                <c:pt idx="197">
                  <c:v>277</c:v>
                </c:pt>
                <c:pt idx="198">
                  <c:v>285</c:v>
                </c:pt>
                <c:pt idx="199">
                  <c:v>370</c:v>
                </c:pt>
                <c:pt idx="200">
                  <c:v>690</c:v>
                </c:pt>
                <c:pt idx="201">
                  <c:v>442</c:v>
                </c:pt>
                <c:pt idx="202">
                  <c:v>480</c:v>
                </c:pt>
                <c:pt idx="203">
                  <c:v>599</c:v>
                </c:pt>
                <c:pt idx="204">
                  <c:v>333</c:v>
                </c:pt>
                <c:pt idx="205">
                  <c:v>435</c:v>
                </c:pt>
                <c:pt idx="206">
                  <c:v>496</c:v>
                </c:pt>
                <c:pt idx="207">
                  <c:v>523</c:v>
                </c:pt>
                <c:pt idx="208">
                  <c:v>375</c:v>
                </c:pt>
                <c:pt idx="209">
                  <c:v>235</c:v>
                </c:pt>
                <c:pt idx="210">
                  <c:v>188</c:v>
                </c:pt>
                <c:pt idx="211">
                  <c:v>212</c:v>
                </c:pt>
                <c:pt idx="212">
                  <c:v>302</c:v>
                </c:pt>
                <c:pt idx="213">
                  <c:v>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C-489C-8B10-C16BFEB2BD39}"/>
            </c:ext>
          </c:extLst>
        </c:ser>
        <c:ser>
          <c:idx val="1"/>
          <c:order val="1"/>
          <c:tx>
            <c:strRef>
              <c:f>Epidemic!$D$5</c:f>
              <c:strCache>
                <c:ptCount val="1"/>
                <c:pt idx="0">
                  <c:v>7 day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Epidemic!$D$6:$D$219</c:f>
              <c:numCache>
                <c:formatCode>General</c:formatCode>
                <c:ptCount val="214"/>
                <c:pt idx="0">
                  <c:v>219.57142857142858</c:v>
                </c:pt>
                <c:pt idx="1">
                  <c:v>182.14285714285714</c:v>
                </c:pt>
                <c:pt idx="2" formatCode="0">
                  <c:v>214.14285714285714</c:v>
                </c:pt>
                <c:pt idx="3" formatCode="0">
                  <c:v>201.57142857142858</c:v>
                </c:pt>
                <c:pt idx="4" formatCode="0">
                  <c:v>207.71428571428572</c:v>
                </c:pt>
                <c:pt idx="5" formatCode="0">
                  <c:v>216.14285714285714</c:v>
                </c:pt>
                <c:pt idx="6" formatCode="0">
                  <c:v>213.28571428571428</c:v>
                </c:pt>
                <c:pt idx="7" formatCode="0">
                  <c:v>201.28571428571428</c:v>
                </c:pt>
                <c:pt idx="8" formatCode="0">
                  <c:v>236.14285714285714</c:v>
                </c:pt>
                <c:pt idx="9" formatCode="0">
                  <c:v>235.71428571428572</c:v>
                </c:pt>
                <c:pt idx="10" formatCode="0">
                  <c:v>248.85714285714286</c:v>
                </c:pt>
                <c:pt idx="11" formatCode="0">
                  <c:v>244</c:v>
                </c:pt>
                <c:pt idx="12" formatCode="0">
                  <c:v>239.71428571428572</c:v>
                </c:pt>
                <c:pt idx="13" formatCode="0">
                  <c:v>233.85714285714286</c:v>
                </c:pt>
                <c:pt idx="14" formatCode="0">
                  <c:v>235</c:v>
                </c:pt>
                <c:pt idx="15" formatCode="0">
                  <c:v>234.28571428571428</c:v>
                </c:pt>
                <c:pt idx="16" formatCode="0">
                  <c:v>236.28571428571428</c:v>
                </c:pt>
                <c:pt idx="17" formatCode="0">
                  <c:v>237</c:v>
                </c:pt>
                <c:pt idx="18" formatCode="0">
                  <c:v>231</c:v>
                </c:pt>
                <c:pt idx="19" formatCode="0">
                  <c:v>272</c:v>
                </c:pt>
                <c:pt idx="20" formatCode="0">
                  <c:v>279.14285714285717</c:v>
                </c:pt>
                <c:pt idx="21" formatCode="0">
                  <c:v>318.57142857142856</c:v>
                </c:pt>
                <c:pt idx="22" formatCode="0">
                  <c:v>333.42857142857144</c:v>
                </c:pt>
                <c:pt idx="23" formatCode="0">
                  <c:v>336.42857142857144</c:v>
                </c:pt>
                <c:pt idx="24" formatCode="0">
                  <c:v>350.42857142857144</c:v>
                </c:pt>
                <c:pt idx="25" formatCode="0">
                  <c:v>403.42857142857144</c:v>
                </c:pt>
                <c:pt idx="26" formatCode="0">
                  <c:v>384.42857142857144</c:v>
                </c:pt>
                <c:pt idx="27" formatCode="0">
                  <c:v>398.71428571428572</c:v>
                </c:pt>
                <c:pt idx="28" formatCode="0">
                  <c:v>349.71428571428572</c:v>
                </c:pt>
                <c:pt idx="29" formatCode="0">
                  <c:v>389</c:v>
                </c:pt>
                <c:pt idx="30" formatCode="0">
                  <c:v>433.85714285714283</c:v>
                </c:pt>
                <c:pt idx="31" formatCode="0">
                  <c:v>549.71428571428567</c:v>
                </c:pt>
                <c:pt idx="32" formatCode="0">
                  <c:v>616</c:v>
                </c:pt>
                <c:pt idx="33" formatCode="0">
                  <c:v>689.85714285714289</c:v>
                </c:pt>
                <c:pt idx="34" formatCode="0">
                  <c:v>833.71428571428567</c:v>
                </c:pt>
                <c:pt idx="35" formatCode="0">
                  <c:v>905.42857142857144</c:v>
                </c:pt>
                <c:pt idx="36" formatCode="0">
                  <c:v>908.71428571428567</c:v>
                </c:pt>
                <c:pt idx="37" formatCode="0">
                  <c:v>929.57142857142856</c:v>
                </c:pt>
                <c:pt idx="38" formatCode="0">
                  <c:v>922.85714285714289</c:v>
                </c:pt>
                <c:pt idx="39" formatCode="0">
                  <c:v>852.57142857142856</c:v>
                </c:pt>
                <c:pt idx="40" formatCode="0">
                  <c:v>778.57142857142856</c:v>
                </c:pt>
                <c:pt idx="41" formatCode="0">
                  <c:v>670.85714285714289</c:v>
                </c:pt>
                <c:pt idx="42" formatCode="0">
                  <c:v>816.85714285714289</c:v>
                </c:pt>
                <c:pt idx="43" formatCode="0">
                  <c:v>857</c:v>
                </c:pt>
                <c:pt idx="44" formatCode="0">
                  <c:v>971.71428571428567</c:v>
                </c:pt>
                <c:pt idx="45" formatCode="0">
                  <c:v>1020.7142857142857</c:v>
                </c:pt>
                <c:pt idx="46" formatCode="0">
                  <c:v>1111.1428571428571</c:v>
                </c:pt>
                <c:pt idx="47" formatCode="0">
                  <c:v>1252.7142857142858</c:v>
                </c:pt>
                <c:pt idx="48" formatCode="0">
                  <c:v>1275.7142857142858</c:v>
                </c:pt>
                <c:pt idx="49" formatCode="0">
                  <c:v>1224.1428571428571</c:v>
                </c:pt>
                <c:pt idx="50" formatCode="0">
                  <c:v>1249.8571428571429</c:v>
                </c:pt>
                <c:pt idx="51" formatCode="0">
                  <c:v>1164.8571428571429</c:v>
                </c:pt>
                <c:pt idx="52" formatCode="0">
                  <c:v>1116.7142857142858</c:v>
                </c:pt>
                <c:pt idx="53" formatCode="0">
                  <c:v>1098.7142857142858</c:v>
                </c:pt>
                <c:pt idx="54" formatCode="0">
                  <c:v>1019.5714285714286</c:v>
                </c:pt>
                <c:pt idx="55" formatCode="0">
                  <c:v>1023.8571428571429</c:v>
                </c:pt>
                <c:pt idx="56" formatCode="0">
                  <c:v>1107.5714285714287</c:v>
                </c:pt>
                <c:pt idx="57" formatCode="0">
                  <c:v>1267.5714285714287</c:v>
                </c:pt>
                <c:pt idx="58" formatCode="0">
                  <c:v>1498.1428571428571</c:v>
                </c:pt>
                <c:pt idx="59" formatCode="0">
                  <c:v>1715.8571428571429</c:v>
                </c:pt>
                <c:pt idx="60" formatCode="0">
                  <c:v>1788</c:v>
                </c:pt>
                <c:pt idx="61" formatCode="0">
                  <c:v>2099.5714285714284</c:v>
                </c:pt>
                <c:pt idx="62" formatCode="0">
                  <c:v>2324.8571428571427</c:v>
                </c:pt>
                <c:pt idx="63" formatCode="0">
                  <c:v>2342.4285714285716</c:v>
                </c:pt>
                <c:pt idx="64" formatCode="0">
                  <c:v>2276</c:v>
                </c:pt>
                <c:pt idx="65" formatCode="0">
                  <c:v>2287.8571428571427</c:v>
                </c:pt>
                <c:pt idx="66" formatCode="0">
                  <c:v>2144</c:v>
                </c:pt>
                <c:pt idx="67" formatCode="0">
                  <c:v>2519.4285714285716</c:v>
                </c:pt>
                <c:pt idx="68" formatCode="0">
                  <c:v>2303.7142857142858</c:v>
                </c:pt>
                <c:pt idx="69" formatCode="0">
                  <c:v>2325</c:v>
                </c:pt>
                <c:pt idx="70" formatCode="0">
                  <c:v>2382.1428571428573</c:v>
                </c:pt>
                <c:pt idx="71" formatCode="0">
                  <c:v>2665.2857142857142</c:v>
                </c:pt>
                <c:pt idx="72" formatCode="0">
                  <c:v>2627.8571428571427</c:v>
                </c:pt>
                <c:pt idx="73" formatCode="0">
                  <c:v>2679.7142857142858</c:v>
                </c:pt>
                <c:pt idx="74" formatCode="0">
                  <c:v>2356.1428571428573</c:v>
                </c:pt>
                <c:pt idx="75" formatCode="0">
                  <c:v>2564.5714285714284</c:v>
                </c:pt>
                <c:pt idx="76" formatCode="0">
                  <c:v>2634.5714285714284</c:v>
                </c:pt>
                <c:pt idx="77" formatCode="0">
                  <c:v>2651.5714285714284</c:v>
                </c:pt>
                <c:pt idx="78" formatCode="0">
                  <c:v>2492.1428571428573</c:v>
                </c:pt>
                <c:pt idx="79" formatCode="0">
                  <c:v>2544.5714285714284</c:v>
                </c:pt>
                <c:pt idx="80" formatCode="0">
                  <c:v>2400.7142857142858</c:v>
                </c:pt>
                <c:pt idx="81" formatCode="0">
                  <c:v>2482.1428571428573</c:v>
                </c:pt>
                <c:pt idx="82" formatCode="0">
                  <c:v>2290.8571428571427</c:v>
                </c:pt>
                <c:pt idx="83" formatCode="0">
                  <c:v>2303.7142857142858</c:v>
                </c:pt>
                <c:pt idx="84" formatCode="0">
                  <c:v>2167.8571428571427</c:v>
                </c:pt>
                <c:pt idx="85" formatCode="0">
                  <c:v>2081.5714285714284</c:v>
                </c:pt>
                <c:pt idx="86" formatCode="0">
                  <c:v>1967.1428571428571</c:v>
                </c:pt>
                <c:pt idx="87" formatCode="0">
                  <c:v>2135</c:v>
                </c:pt>
                <c:pt idx="88" formatCode="0">
                  <c:v>2051.1428571428573</c:v>
                </c:pt>
                <c:pt idx="89" formatCode="0">
                  <c:v>2083</c:v>
                </c:pt>
                <c:pt idx="90" formatCode="0">
                  <c:v>1803.2857142857142</c:v>
                </c:pt>
                <c:pt idx="91" formatCode="0">
                  <c:v>1691.2857142857142</c:v>
                </c:pt>
                <c:pt idx="92" formatCode="0">
                  <c:v>1649.1428571428571</c:v>
                </c:pt>
                <c:pt idx="93" formatCode="0">
                  <c:v>1527.7142857142858</c:v>
                </c:pt>
                <c:pt idx="94" formatCode="0">
                  <c:v>1378</c:v>
                </c:pt>
                <c:pt idx="95" formatCode="0">
                  <c:v>1182.4285714285713</c:v>
                </c:pt>
                <c:pt idx="96" formatCode="0">
                  <c:v>1128.8571428571429</c:v>
                </c:pt>
                <c:pt idx="97" formatCode="0">
                  <c:v>1175.1428571428571</c:v>
                </c:pt>
                <c:pt idx="98" formatCode="0">
                  <c:v>1369</c:v>
                </c:pt>
                <c:pt idx="99" formatCode="0">
                  <c:v>1372.7142857142858</c:v>
                </c:pt>
                <c:pt idx="100" formatCode="0">
                  <c:v>1583.4285714285713</c:v>
                </c:pt>
                <c:pt idx="101" formatCode="0">
                  <c:v>1631.7142857142858</c:v>
                </c:pt>
                <c:pt idx="102" formatCode="0">
                  <c:v>1916</c:v>
                </c:pt>
                <c:pt idx="103" formatCode="0">
                  <c:v>1960.7142857142858</c:v>
                </c:pt>
                <c:pt idx="104" formatCode="0">
                  <c:v>1981.1428571428571</c:v>
                </c:pt>
                <c:pt idx="105" formatCode="0">
                  <c:v>1855.4285714285713</c:v>
                </c:pt>
                <c:pt idx="106" formatCode="0">
                  <c:v>1788.4285714285713</c:v>
                </c:pt>
                <c:pt idx="107" formatCode="0">
                  <c:v>1623.1428571428571</c:v>
                </c:pt>
                <c:pt idx="108" formatCode="0">
                  <c:v>1600.7142857142858</c:v>
                </c:pt>
                <c:pt idx="109" formatCode="0">
                  <c:v>1420.5714285714287</c:v>
                </c:pt>
                <c:pt idx="110" formatCode="0">
                  <c:v>1252.7142857142858</c:v>
                </c:pt>
                <c:pt idx="111" formatCode="0">
                  <c:v>1192.1428571428571</c:v>
                </c:pt>
                <c:pt idx="112" formatCode="0">
                  <c:v>1123</c:v>
                </c:pt>
                <c:pt idx="113" formatCode="0">
                  <c:v>1084.1428571428571</c:v>
                </c:pt>
                <c:pt idx="114" formatCode="0">
                  <c:v>1033.4285714285713</c:v>
                </c:pt>
                <c:pt idx="115" formatCode="0">
                  <c:v>993.85714285714289</c:v>
                </c:pt>
                <c:pt idx="116" formatCode="0">
                  <c:v>980.28571428571433</c:v>
                </c:pt>
                <c:pt idx="117" formatCode="0">
                  <c:v>985.14285714285711</c:v>
                </c:pt>
                <c:pt idx="118" formatCode="0">
                  <c:v>939.28571428571433</c:v>
                </c:pt>
                <c:pt idx="119" formatCode="0">
                  <c:v>958.57142857142856</c:v>
                </c:pt>
                <c:pt idx="120" formatCode="0">
                  <c:v>959</c:v>
                </c:pt>
                <c:pt idx="121" formatCode="0">
                  <c:v>949.14285714285711</c:v>
                </c:pt>
                <c:pt idx="122" formatCode="0">
                  <c:v>978</c:v>
                </c:pt>
                <c:pt idx="123" formatCode="0">
                  <c:v>928.71428571428567</c:v>
                </c:pt>
                <c:pt idx="124" formatCode="0">
                  <c:v>921</c:v>
                </c:pt>
                <c:pt idx="125" formatCode="0">
                  <c:v>941.14285714285711</c:v>
                </c:pt>
                <c:pt idx="126" formatCode="0">
                  <c:v>933</c:v>
                </c:pt>
                <c:pt idx="127" formatCode="0">
                  <c:v>935.42857142857144</c:v>
                </c:pt>
                <c:pt idx="128" formatCode="0">
                  <c:v>879</c:v>
                </c:pt>
                <c:pt idx="129" formatCode="0">
                  <c:v>811.71428571428567</c:v>
                </c:pt>
                <c:pt idx="130" formatCode="0">
                  <c:v>887.71428571428567</c:v>
                </c:pt>
                <c:pt idx="131" formatCode="0">
                  <c:v>893.71428571428567</c:v>
                </c:pt>
                <c:pt idx="132" formatCode="0">
                  <c:v>838.42857142857144</c:v>
                </c:pt>
                <c:pt idx="133" formatCode="0">
                  <c:v>797.42857142857144</c:v>
                </c:pt>
                <c:pt idx="134" formatCode="0">
                  <c:v>780.57142857142856</c:v>
                </c:pt>
                <c:pt idx="135" formatCode="0">
                  <c:v>794</c:v>
                </c:pt>
                <c:pt idx="136" formatCode="0">
                  <c:v>798.42857142857144</c:v>
                </c:pt>
                <c:pt idx="137" formatCode="0">
                  <c:v>718.85714285714289</c:v>
                </c:pt>
                <c:pt idx="138" formatCode="0">
                  <c:v>692.85714285714289</c:v>
                </c:pt>
                <c:pt idx="139" formatCode="0">
                  <c:v>657.85714285714289</c:v>
                </c:pt>
                <c:pt idx="140" formatCode="0">
                  <c:v>647.71428571428567</c:v>
                </c:pt>
                <c:pt idx="141" formatCode="0">
                  <c:v>581.42857142857144</c:v>
                </c:pt>
                <c:pt idx="142" formatCode="0">
                  <c:v>556</c:v>
                </c:pt>
                <c:pt idx="143" formatCode="0">
                  <c:v>522.42857142857144</c:v>
                </c:pt>
                <c:pt idx="144" formatCode="0">
                  <c:v>467.42857142857144</c:v>
                </c:pt>
                <c:pt idx="145" formatCode="0">
                  <c:v>461</c:v>
                </c:pt>
                <c:pt idx="146" formatCode="0">
                  <c:v>488</c:v>
                </c:pt>
                <c:pt idx="147" formatCode="0">
                  <c:v>488.57142857142856</c:v>
                </c:pt>
                <c:pt idx="148" formatCode="0">
                  <c:v>496.28571428571428</c:v>
                </c:pt>
                <c:pt idx="149" formatCode="0">
                  <c:v>485.14285714285717</c:v>
                </c:pt>
                <c:pt idx="150" formatCode="0">
                  <c:v>489.42857142857144</c:v>
                </c:pt>
                <c:pt idx="151" formatCode="0">
                  <c:v>524</c:v>
                </c:pt>
                <c:pt idx="152" formatCode="0">
                  <c:v>531.85714285714289</c:v>
                </c:pt>
                <c:pt idx="153" formatCode="0">
                  <c:v>482.28571428571428</c:v>
                </c:pt>
                <c:pt idx="154" formatCode="0">
                  <c:v>492.85714285714283</c:v>
                </c:pt>
                <c:pt idx="155" formatCode="0">
                  <c:v>490</c:v>
                </c:pt>
                <c:pt idx="156" formatCode="0">
                  <c:v>500.85714285714283</c:v>
                </c:pt>
                <c:pt idx="157" formatCode="0">
                  <c:v>510.57142857142856</c:v>
                </c:pt>
                <c:pt idx="158" formatCode="0">
                  <c:v>487.85714285714283</c:v>
                </c:pt>
                <c:pt idx="159" formatCode="0">
                  <c:v>481.42857142857144</c:v>
                </c:pt>
                <c:pt idx="160" formatCode="0">
                  <c:v>507</c:v>
                </c:pt>
                <c:pt idx="161" formatCode="0">
                  <c:v>470.57142857142856</c:v>
                </c:pt>
                <c:pt idx="162" formatCode="0">
                  <c:v>450.85714285714283</c:v>
                </c:pt>
                <c:pt idx="163" formatCode="0">
                  <c:v>420.71428571428572</c:v>
                </c:pt>
                <c:pt idx="164" formatCode="0">
                  <c:v>387.14285714285717</c:v>
                </c:pt>
                <c:pt idx="165" formatCode="0">
                  <c:v>369.42857142857144</c:v>
                </c:pt>
                <c:pt idx="166" formatCode="0">
                  <c:v>350.42857142857144</c:v>
                </c:pt>
                <c:pt idx="167" formatCode="0">
                  <c:v>343.85714285714283</c:v>
                </c:pt>
                <c:pt idx="168" formatCode="0">
                  <c:v>342.71428571428572</c:v>
                </c:pt>
                <c:pt idx="169" formatCode="0">
                  <c:v>337.85714285714283</c:v>
                </c:pt>
                <c:pt idx="170" formatCode="0">
                  <c:v>336.28571428571428</c:v>
                </c:pt>
                <c:pt idx="171" formatCode="0">
                  <c:v>347.85714285714283</c:v>
                </c:pt>
                <c:pt idx="172" formatCode="0">
                  <c:v>364.14285714285717</c:v>
                </c:pt>
                <c:pt idx="173" formatCode="0">
                  <c:v>369.71428571428572</c:v>
                </c:pt>
                <c:pt idx="174" formatCode="0">
                  <c:v>365</c:v>
                </c:pt>
                <c:pt idx="175" formatCode="0">
                  <c:v>366.57142857142856</c:v>
                </c:pt>
                <c:pt idx="176" formatCode="0">
                  <c:v>392.85714285714283</c:v>
                </c:pt>
                <c:pt idx="177" formatCode="0">
                  <c:v>402</c:v>
                </c:pt>
                <c:pt idx="178" formatCode="0">
                  <c:v>413.42857142857144</c:v>
                </c:pt>
                <c:pt idx="179" formatCode="0">
                  <c:v>407</c:v>
                </c:pt>
                <c:pt idx="180" formatCode="0">
                  <c:v>409.57142857142856</c:v>
                </c:pt>
                <c:pt idx="181" formatCode="0">
                  <c:v>416.42857142857144</c:v>
                </c:pt>
                <c:pt idx="182" formatCode="0">
                  <c:v>413.85714285714283</c:v>
                </c:pt>
                <c:pt idx="183" formatCode="0">
                  <c:v>369.71428571428572</c:v>
                </c:pt>
                <c:pt idx="184" formatCode="0">
                  <c:v>376</c:v>
                </c:pt>
                <c:pt idx="185" formatCode="0">
                  <c:v>360.57142857142856</c:v>
                </c:pt>
                <c:pt idx="186" formatCode="0">
                  <c:v>356</c:v>
                </c:pt>
                <c:pt idx="187" formatCode="0">
                  <c:v>361.14285714285717</c:v>
                </c:pt>
                <c:pt idx="188" formatCode="0">
                  <c:v>360</c:v>
                </c:pt>
                <c:pt idx="189" formatCode="0">
                  <c:v>364.71428571428572</c:v>
                </c:pt>
                <c:pt idx="190" formatCode="0">
                  <c:v>375.42857142857144</c:v>
                </c:pt>
                <c:pt idx="191" formatCode="0">
                  <c:v>363</c:v>
                </c:pt>
                <c:pt idx="192" formatCode="0">
                  <c:v>347.28571428571428</c:v>
                </c:pt>
                <c:pt idx="193" formatCode="0">
                  <c:v>367.14285714285717</c:v>
                </c:pt>
                <c:pt idx="194" formatCode="0">
                  <c:v>360.42857142857144</c:v>
                </c:pt>
                <c:pt idx="195" formatCode="0">
                  <c:v>350.57142857142856</c:v>
                </c:pt>
                <c:pt idx="196" formatCode="0">
                  <c:v>355.85714285714283</c:v>
                </c:pt>
                <c:pt idx="197" formatCode="0">
                  <c:v>410.57142857142856</c:v>
                </c:pt>
                <c:pt idx="198" formatCode="0">
                  <c:v>423.28571428571428</c:v>
                </c:pt>
                <c:pt idx="199" formatCode="0">
                  <c:v>438.42857142857144</c:v>
                </c:pt>
                <c:pt idx="200" formatCode="0">
                  <c:v>449</c:v>
                </c:pt>
                <c:pt idx="201" formatCode="0">
                  <c:v>457</c:v>
                </c:pt>
                <c:pt idx="202" formatCode="0">
                  <c:v>478.42857142857144</c:v>
                </c:pt>
                <c:pt idx="203" formatCode="0">
                  <c:v>496.42857142857144</c:v>
                </c:pt>
                <c:pt idx="204" formatCode="0">
                  <c:v>472.57142857142856</c:v>
                </c:pt>
                <c:pt idx="205" formatCode="0">
                  <c:v>463</c:v>
                </c:pt>
                <c:pt idx="206" formatCode="0">
                  <c:v>428</c:v>
                </c:pt>
                <c:pt idx="207" formatCode="0">
                  <c:v>369.28571428571428</c:v>
                </c:pt>
                <c:pt idx="208" formatCode="0">
                  <c:v>352</c:v>
                </c:pt>
                <c:pt idx="209" formatCode="0">
                  <c:v>333</c:v>
                </c:pt>
                <c:pt idx="210" formatCode="0">
                  <c:v>341.14285714285717</c:v>
                </c:pt>
                <c:pt idx="211" formatCode="0">
                  <c:v>296.71428571428572</c:v>
                </c:pt>
                <c:pt idx="212" formatCode="0">
                  <c:v>299.14285714285717</c:v>
                </c:pt>
                <c:pt idx="213" formatCode="0">
                  <c:v>416.28571428571428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C-489C-8B10-C16BFEB2B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982096"/>
        <c:axId val="1561971056"/>
      </c:lineChart>
      <c:dateAx>
        <c:axId val="1561982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971056"/>
        <c:crosses val="autoZero"/>
        <c:auto val="1"/>
        <c:lblOffset val="100"/>
        <c:baseTimeUnit val="days"/>
      </c:dateAx>
      <c:valAx>
        <c:axId val="156197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9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Modelled</a:t>
            </a:r>
            <a:r>
              <a:rPr lang="en-PH" baseline="0"/>
              <a:t> New Cases and New Cases (Moving Average)</a:t>
            </a:r>
          </a:p>
          <a:p>
            <a:pPr>
              <a:defRPr/>
            </a:pPr>
            <a:r>
              <a:rPr lang="en-PH" baseline="0"/>
              <a:t>Infection Rate = 6.6, N = 180000</a:t>
            </a:r>
          </a:p>
        </c:rich>
      </c:tx>
      <c:layout>
        <c:manualLayout>
          <c:xMode val="edge"/>
          <c:yMode val="edge"/>
          <c:x val="0.26405399218711889"/>
          <c:y val="3.880152181401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5545545157858E-2"/>
          <c:y val="1.3775959898339716E-2"/>
          <c:w val="0.93004454454842145"/>
          <c:h val="0.79141531867781589"/>
        </c:manualLayout>
      </c:layout>
      <c:lineChart>
        <c:grouping val="standard"/>
        <c:varyColors val="0"/>
        <c:ser>
          <c:idx val="0"/>
          <c:order val="0"/>
          <c:tx>
            <c:v>New Cases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Epidemic!$D$6:$D$219</c:f>
              <c:numCache>
                <c:formatCode>General</c:formatCode>
                <c:ptCount val="214"/>
                <c:pt idx="0">
                  <c:v>219.57142857142858</c:v>
                </c:pt>
                <c:pt idx="1">
                  <c:v>182.14285714285714</c:v>
                </c:pt>
                <c:pt idx="2" formatCode="0">
                  <c:v>214.14285714285714</c:v>
                </c:pt>
                <c:pt idx="3" formatCode="0">
                  <c:v>201.57142857142858</c:v>
                </c:pt>
                <c:pt idx="4" formatCode="0">
                  <c:v>207.71428571428572</c:v>
                </c:pt>
                <c:pt idx="5" formatCode="0">
                  <c:v>216.14285714285714</c:v>
                </c:pt>
                <c:pt idx="6" formatCode="0">
                  <c:v>213.28571428571428</c:v>
                </c:pt>
                <c:pt idx="7" formatCode="0">
                  <c:v>201.28571428571428</c:v>
                </c:pt>
                <c:pt idx="8" formatCode="0">
                  <c:v>236.14285714285714</c:v>
                </c:pt>
                <c:pt idx="9" formatCode="0">
                  <c:v>235.71428571428572</c:v>
                </c:pt>
                <c:pt idx="10" formatCode="0">
                  <c:v>248.85714285714286</c:v>
                </c:pt>
                <c:pt idx="11" formatCode="0">
                  <c:v>244</c:v>
                </c:pt>
                <c:pt idx="12" formatCode="0">
                  <c:v>239.71428571428572</c:v>
                </c:pt>
                <c:pt idx="13" formatCode="0">
                  <c:v>233.85714285714286</c:v>
                </c:pt>
                <c:pt idx="14" formatCode="0">
                  <c:v>235</c:v>
                </c:pt>
                <c:pt idx="15" formatCode="0">
                  <c:v>234.28571428571428</c:v>
                </c:pt>
                <c:pt idx="16" formatCode="0">
                  <c:v>236.28571428571428</c:v>
                </c:pt>
                <c:pt idx="17" formatCode="0">
                  <c:v>237</c:v>
                </c:pt>
                <c:pt idx="18" formatCode="0">
                  <c:v>231</c:v>
                </c:pt>
                <c:pt idx="19" formatCode="0">
                  <c:v>272</c:v>
                </c:pt>
                <c:pt idx="20" formatCode="0">
                  <c:v>279.14285714285717</c:v>
                </c:pt>
                <c:pt idx="21" formatCode="0">
                  <c:v>318.57142857142856</c:v>
                </c:pt>
                <c:pt idx="22" formatCode="0">
                  <c:v>333.42857142857144</c:v>
                </c:pt>
                <c:pt idx="23" formatCode="0">
                  <c:v>336.42857142857144</c:v>
                </c:pt>
                <c:pt idx="24" formatCode="0">
                  <c:v>350.42857142857144</c:v>
                </c:pt>
                <c:pt idx="25" formatCode="0">
                  <c:v>403.42857142857144</c:v>
                </c:pt>
                <c:pt idx="26" formatCode="0">
                  <c:v>384.42857142857144</c:v>
                </c:pt>
                <c:pt idx="27" formatCode="0">
                  <c:v>398.71428571428572</c:v>
                </c:pt>
                <c:pt idx="28" formatCode="0">
                  <c:v>349.71428571428572</c:v>
                </c:pt>
                <c:pt idx="29" formatCode="0">
                  <c:v>389</c:v>
                </c:pt>
                <c:pt idx="30" formatCode="0">
                  <c:v>433.85714285714283</c:v>
                </c:pt>
                <c:pt idx="31" formatCode="0">
                  <c:v>549.71428571428567</c:v>
                </c:pt>
                <c:pt idx="32" formatCode="0">
                  <c:v>616</c:v>
                </c:pt>
                <c:pt idx="33" formatCode="0">
                  <c:v>689.85714285714289</c:v>
                </c:pt>
                <c:pt idx="34" formatCode="0">
                  <c:v>833.71428571428567</c:v>
                </c:pt>
                <c:pt idx="35" formatCode="0">
                  <c:v>905.42857142857144</c:v>
                </c:pt>
                <c:pt idx="36" formatCode="0">
                  <c:v>908.71428571428567</c:v>
                </c:pt>
                <c:pt idx="37" formatCode="0">
                  <c:v>929.57142857142856</c:v>
                </c:pt>
                <c:pt idx="38" formatCode="0">
                  <c:v>922.85714285714289</c:v>
                </c:pt>
                <c:pt idx="39" formatCode="0">
                  <c:v>852.57142857142856</c:v>
                </c:pt>
                <c:pt idx="40" formatCode="0">
                  <c:v>778.57142857142856</c:v>
                </c:pt>
                <c:pt idx="41" formatCode="0">
                  <c:v>670.85714285714289</c:v>
                </c:pt>
                <c:pt idx="42" formatCode="0">
                  <c:v>816.85714285714289</c:v>
                </c:pt>
                <c:pt idx="43" formatCode="0">
                  <c:v>857</c:v>
                </c:pt>
                <c:pt idx="44" formatCode="0">
                  <c:v>971.71428571428567</c:v>
                </c:pt>
                <c:pt idx="45" formatCode="0">
                  <c:v>1020.7142857142857</c:v>
                </c:pt>
                <c:pt idx="46" formatCode="0">
                  <c:v>1111.1428571428571</c:v>
                </c:pt>
                <c:pt idx="47" formatCode="0">
                  <c:v>1252.7142857142858</c:v>
                </c:pt>
                <c:pt idx="48" formatCode="0">
                  <c:v>1275.7142857142858</c:v>
                </c:pt>
                <c:pt idx="49" formatCode="0">
                  <c:v>1224.1428571428571</c:v>
                </c:pt>
                <c:pt idx="50" formatCode="0">
                  <c:v>1249.8571428571429</c:v>
                </c:pt>
                <c:pt idx="51" formatCode="0">
                  <c:v>1164.8571428571429</c:v>
                </c:pt>
                <c:pt idx="52" formatCode="0">
                  <c:v>1116.7142857142858</c:v>
                </c:pt>
                <c:pt idx="53" formatCode="0">
                  <c:v>1098.7142857142858</c:v>
                </c:pt>
                <c:pt idx="54" formatCode="0">
                  <c:v>1019.5714285714286</c:v>
                </c:pt>
                <c:pt idx="55" formatCode="0">
                  <c:v>1023.8571428571429</c:v>
                </c:pt>
                <c:pt idx="56" formatCode="0">
                  <c:v>1107.5714285714287</c:v>
                </c:pt>
                <c:pt idx="57" formatCode="0">
                  <c:v>1267.5714285714287</c:v>
                </c:pt>
                <c:pt idx="58" formatCode="0">
                  <c:v>1498.1428571428571</c:v>
                </c:pt>
                <c:pt idx="59" formatCode="0">
                  <c:v>1715.8571428571429</c:v>
                </c:pt>
                <c:pt idx="60" formatCode="0">
                  <c:v>1788</c:v>
                </c:pt>
                <c:pt idx="61" formatCode="0">
                  <c:v>2099.5714285714284</c:v>
                </c:pt>
                <c:pt idx="62" formatCode="0">
                  <c:v>2324.8571428571427</c:v>
                </c:pt>
                <c:pt idx="63" formatCode="0">
                  <c:v>2342.4285714285716</c:v>
                </c:pt>
                <c:pt idx="64" formatCode="0">
                  <c:v>2276</c:v>
                </c:pt>
                <c:pt idx="65" formatCode="0">
                  <c:v>2287.8571428571427</c:v>
                </c:pt>
                <c:pt idx="66" formatCode="0">
                  <c:v>2144</c:v>
                </c:pt>
                <c:pt idx="67" formatCode="0">
                  <c:v>2519.4285714285716</c:v>
                </c:pt>
                <c:pt idx="68" formatCode="0">
                  <c:v>2303.7142857142858</c:v>
                </c:pt>
                <c:pt idx="69" formatCode="0">
                  <c:v>2325</c:v>
                </c:pt>
                <c:pt idx="70" formatCode="0">
                  <c:v>2382.1428571428573</c:v>
                </c:pt>
                <c:pt idx="71" formatCode="0">
                  <c:v>2665.2857142857142</c:v>
                </c:pt>
                <c:pt idx="72" formatCode="0">
                  <c:v>2627.8571428571427</c:v>
                </c:pt>
                <c:pt idx="73" formatCode="0">
                  <c:v>2679.7142857142858</c:v>
                </c:pt>
                <c:pt idx="74" formatCode="0">
                  <c:v>2356.1428571428573</c:v>
                </c:pt>
                <c:pt idx="75" formatCode="0">
                  <c:v>2564.5714285714284</c:v>
                </c:pt>
                <c:pt idx="76" formatCode="0">
                  <c:v>2634.5714285714284</c:v>
                </c:pt>
                <c:pt idx="77" formatCode="0">
                  <c:v>2651.5714285714284</c:v>
                </c:pt>
                <c:pt idx="78" formatCode="0">
                  <c:v>2492.1428571428573</c:v>
                </c:pt>
                <c:pt idx="79" formatCode="0">
                  <c:v>2544.5714285714284</c:v>
                </c:pt>
                <c:pt idx="80" formatCode="0">
                  <c:v>2400.7142857142858</c:v>
                </c:pt>
                <c:pt idx="81" formatCode="0">
                  <c:v>2482.1428571428573</c:v>
                </c:pt>
                <c:pt idx="82" formatCode="0">
                  <c:v>2290.8571428571427</c:v>
                </c:pt>
                <c:pt idx="83" formatCode="0">
                  <c:v>2303.7142857142858</c:v>
                </c:pt>
                <c:pt idx="84" formatCode="0">
                  <c:v>2167.8571428571427</c:v>
                </c:pt>
                <c:pt idx="85" formatCode="0">
                  <c:v>2081.5714285714284</c:v>
                </c:pt>
                <c:pt idx="86" formatCode="0">
                  <c:v>1967.1428571428571</c:v>
                </c:pt>
                <c:pt idx="87" formatCode="0">
                  <c:v>2135</c:v>
                </c:pt>
                <c:pt idx="88" formatCode="0">
                  <c:v>2051.1428571428573</c:v>
                </c:pt>
                <c:pt idx="89" formatCode="0">
                  <c:v>2083</c:v>
                </c:pt>
                <c:pt idx="90" formatCode="0">
                  <c:v>1803.2857142857142</c:v>
                </c:pt>
                <c:pt idx="91" formatCode="0">
                  <c:v>1691.2857142857142</c:v>
                </c:pt>
                <c:pt idx="92" formatCode="0">
                  <c:v>1649.1428571428571</c:v>
                </c:pt>
                <c:pt idx="93" formatCode="0">
                  <c:v>1527.7142857142858</c:v>
                </c:pt>
                <c:pt idx="94" formatCode="0">
                  <c:v>1378</c:v>
                </c:pt>
                <c:pt idx="95" formatCode="0">
                  <c:v>1182.4285714285713</c:v>
                </c:pt>
                <c:pt idx="96" formatCode="0">
                  <c:v>1128.8571428571429</c:v>
                </c:pt>
                <c:pt idx="97" formatCode="0">
                  <c:v>1175.1428571428571</c:v>
                </c:pt>
                <c:pt idx="98" formatCode="0">
                  <c:v>1369</c:v>
                </c:pt>
                <c:pt idx="99" formatCode="0">
                  <c:v>1372.7142857142858</c:v>
                </c:pt>
                <c:pt idx="100" formatCode="0">
                  <c:v>1583.4285714285713</c:v>
                </c:pt>
                <c:pt idx="101" formatCode="0">
                  <c:v>1631.7142857142858</c:v>
                </c:pt>
                <c:pt idx="102" formatCode="0">
                  <c:v>1916</c:v>
                </c:pt>
                <c:pt idx="103" formatCode="0">
                  <c:v>1960.7142857142858</c:v>
                </c:pt>
                <c:pt idx="104" formatCode="0">
                  <c:v>1981.1428571428571</c:v>
                </c:pt>
                <c:pt idx="105" formatCode="0">
                  <c:v>1855.4285714285713</c:v>
                </c:pt>
                <c:pt idx="106" formatCode="0">
                  <c:v>1788.4285714285713</c:v>
                </c:pt>
                <c:pt idx="107" formatCode="0">
                  <c:v>1623.1428571428571</c:v>
                </c:pt>
                <c:pt idx="108" formatCode="0">
                  <c:v>1600.7142857142858</c:v>
                </c:pt>
                <c:pt idx="109" formatCode="0">
                  <c:v>1420.5714285714287</c:v>
                </c:pt>
                <c:pt idx="110" formatCode="0">
                  <c:v>1252.7142857142858</c:v>
                </c:pt>
                <c:pt idx="111" formatCode="0">
                  <c:v>1192.1428571428571</c:v>
                </c:pt>
                <c:pt idx="112" formatCode="0">
                  <c:v>1123</c:v>
                </c:pt>
                <c:pt idx="113" formatCode="0">
                  <c:v>1084.1428571428571</c:v>
                </c:pt>
                <c:pt idx="114" formatCode="0">
                  <c:v>1033.4285714285713</c:v>
                </c:pt>
                <c:pt idx="115" formatCode="0">
                  <c:v>993.85714285714289</c:v>
                </c:pt>
                <c:pt idx="116" formatCode="0">
                  <c:v>980.28571428571433</c:v>
                </c:pt>
                <c:pt idx="117" formatCode="0">
                  <c:v>985.14285714285711</c:v>
                </c:pt>
                <c:pt idx="118" formatCode="0">
                  <c:v>939.28571428571433</c:v>
                </c:pt>
                <c:pt idx="119" formatCode="0">
                  <c:v>958.57142857142856</c:v>
                </c:pt>
                <c:pt idx="120" formatCode="0">
                  <c:v>959</c:v>
                </c:pt>
                <c:pt idx="121" formatCode="0">
                  <c:v>949.14285714285711</c:v>
                </c:pt>
                <c:pt idx="122" formatCode="0">
                  <c:v>978</c:v>
                </c:pt>
                <c:pt idx="123" formatCode="0">
                  <c:v>928.71428571428567</c:v>
                </c:pt>
                <c:pt idx="124" formatCode="0">
                  <c:v>921</c:v>
                </c:pt>
                <c:pt idx="125" formatCode="0">
                  <c:v>941.14285714285711</c:v>
                </c:pt>
                <c:pt idx="126" formatCode="0">
                  <c:v>933</c:v>
                </c:pt>
                <c:pt idx="127" formatCode="0">
                  <c:v>935.42857142857144</c:v>
                </c:pt>
                <c:pt idx="128" formatCode="0">
                  <c:v>879</c:v>
                </c:pt>
                <c:pt idx="129" formatCode="0">
                  <c:v>811.71428571428567</c:v>
                </c:pt>
                <c:pt idx="130" formatCode="0">
                  <c:v>887.71428571428567</c:v>
                </c:pt>
                <c:pt idx="131" formatCode="0">
                  <c:v>893.71428571428567</c:v>
                </c:pt>
                <c:pt idx="132" formatCode="0">
                  <c:v>838.42857142857144</c:v>
                </c:pt>
                <c:pt idx="133" formatCode="0">
                  <c:v>797.42857142857144</c:v>
                </c:pt>
                <c:pt idx="134" formatCode="0">
                  <c:v>780.57142857142856</c:v>
                </c:pt>
                <c:pt idx="135" formatCode="0">
                  <c:v>794</c:v>
                </c:pt>
                <c:pt idx="136" formatCode="0">
                  <c:v>798.42857142857144</c:v>
                </c:pt>
                <c:pt idx="137" formatCode="0">
                  <c:v>718.85714285714289</c:v>
                </c:pt>
                <c:pt idx="138" formatCode="0">
                  <c:v>692.85714285714289</c:v>
                </c:pt>
                <c:pt idx="139" formatCode="0">
                  <c:v>657.85714285714289</c:v>
                </c:pt>
                <c:pt idx="140" formatCode="0">
                  <c:v>647.71428571428567</c:v>
                </c:pt>
                <c:pt idx="141" formatCode="0">
                  <c:v>581.42857142857144</c:v>
                </c:pt>
                <c:pt idx="142" formatCode="0">
                  <c:v>556</c:v>
                </c:pt>
                <c:pt idx="143" formatCode="0">
                  <c:v>522.42857142857144</c:v>
                </c:pt>
                <c:pt idx="144" formatCode="0">
                  <c:v>467.42857142857144</c:v>
                </c:pt>
                <c:pt idx="145" formatCode="0">
                  <c:v>461</c:v>
                </c:pt>
                <c:pt idx="146" formatCode="0">
                  <c:v>488</c:v>
                </c:pt>
                <c:pt idx="147" formatCode="0">
                  <c:v>488.57142857142856</c:v>
                </c:pt>
                <c:pt idx="148" formatCode="0">
                  <c:v>496.28571428571428</c:v>
                </c:pt>
                <c:pt idx="149" formatCode="0">
                  <c:v>485.14285714285717</c:v>
                </c:pt>
                <c:pt idx="150" formatCode="0">
                  <c:v>489.42857142857144</c:v>
                </c:pt>
                <c:pt idx="151" formatCode="0">
                  <c:v>524</c:v>
                </c:pt>
                <c:pt idx="152" formatCode="0">
                  <c:v>531.85714285714289</c:v>
                </c:pt>
                <c:pt idx="153" formatCode="0">
                  <c:v>482.28571428571428</c:v>
                </c:pt>
                <c:pt idx="154" formatCode="0">
                  <c:v>492.85714285714283</c:v>
                </c:pt>
                <c:pt idx="155" formatCode="0">
                  <c:v>490</c:v>
                </c:pt>
                <c:pt idx="156" formatCode="0">
                  <c:v>500.85714285714283</c:v>
                </c:pt>
                <c:pt idx="157" formatCode="0">
                  <c:v>510.57142857142856</c:v>
                </c:pt>
                <c:pt idx="158" formatCode="0">
                  <c:v>487.85714285714283</c:v>
                </c:pt>
                <c:pt idx="159" formatCode="0">
                  <c:v>481.42857142857144</c:v>
                </c:pt>
                <c:pt idx="160" formatCode="0">
                  <c:v>507</c:v>
                </c:pt>
                <c:pt idx="161" formatCode="0">
                  <c:v>470.57142857142856</c:v>
                </c:pt>
                <c:pt idx="162" formatCode="0">
                  <c:v>450.85714285714283</c:v>
                </c:pt>
                <c:pt idx="163" formatCode="0">
                  <c:v>420.71428571428572</c:v>
                </c:pt>
                <c:pt idx="164" formatCode="0">
                  <c:v>387.14285714285717</c:v>
                </c:pt>
                <c:pt idx="165" formatCode="0">
                  <c:v>369.42857142857144</c:v>
                </c:pt>
                <c:pt idx="166" formatCode="0">
                  <c:v>350.42857142857144</c:v>
                </c:pt>
                <c:pt idx="167" formatCode="0">
                  <c:v>343.85714285714283</c:v>
                </c:pt>
                <c:pt idx="168" formatCode="0">
                  <c:v>342.71428571428572</c:v>
                </c:pt>
                <c:pt idx="169" formatCode="0">
                  <c:v>337.85714285714283</c:v>
                </c:pt>
                <c:pt idx="170" formatCode="0">
                  <c:v>336.28571428571428</c:v>
                </c:pt>
                <c:pt idx="171" formatCode="0">
                  <c:v>347.85714285714283</c:v>
                </c:pt>
                <c:pt idx="172" formatCode="0">
                  <c:v>364.14285714285717</c:v>
                </c:pt>
                <c:pt idx="173" formatCode="0">
                  <c:v>369.71428571428572</c:v>
                </c:pt>
                <c:pt idx="174" formatCode="0">
                  <c:v>365</c:v>
                </c:pt>
                <c:pt idx="175" formatCode="0">
                  <c:v>366.57142857142856</c:v>
                </c:pt>
                <c:pt idx="176" formatCode="0">
                  <c:v>392.85714285714283</c:v>
                </c:pt>
                <c:pt idx="177" formatCode="0">
                  <c:v>402</c:v>
                </c:pt>
                <c:pt idx="178" formatCode="0">
                  <c:v>413.42857142857144</c:v>
                </c:pt>
                <c:pt idx="179" formatCode="0">
                  <c:v>407</c:v>
                </c:pt>
                <c:pt idx="180" formatCode="0">
                  <c:v>409.57142857142856</c:v>
                </c:pt>
                <c:pt idx="181" formatCode="0">
                  <c:v>416.42857142857144</c:v>
                </c:pt>
                <c:pt idx="182" formatCode="0">
                  <c:v>413.85714285714283</c:v>
                </c:pt>
                <c:pt idx="183" formatCode="0">
                  <c:v>369.71428571428572</c:v>
                </c:pt>
                <c:pt idx="184" formatCode="0">
                  <c:v>376</c:v>
                </c:pt>
                <c:pt idx="185" formatCode="0">
                  <c:v>360.57142857142856</c:v>
                </c:pt>
                <c:pt idx="186" formatCode="0">
                  <c:v>356</c:v>
                </c:pt>
                <c:pt idx="187" formatCode="0">
                  <c:v>361.14285714285717</c:v>
                </c:pt>
                <c:pt idx="188" formatCode="0">
                  <c:v>360</c:v>
                </c:pt>
                <c:pt idx="189" formatCode="0">
                  <c:v>364.71428571428572</c:v>
                </c:pt>
                <c:pt idx="190" formatCode="0">
                  <c:v>375.42857142857144</c:v>
                </c:pt>
                <c:pt idx="191" formatCode="0">
                  <c:v>363</c:v>
                </c:pt>
                <c:pt idx="192" formatCode="0">
                  <c:v>347.28571428571428</c:v>
                </c:pt>
                <c:pt idx="193" formatCode="0">
                  <c:v>367.14285714285717</c:v>
                </c:pt>
                <c:pt idx="194" formatCode="0">
                  <c:v>360.42857142857144</c:v>
                </c:pt>
                <c:pt idx="195" formatCode="0">
                  <c:v>350.57142857142856</c:v>
                </c:pt>
                <c:pt idx="196" formatCode="0">
                  <c:v>355.85714285714283</c:v>
                </c:pt>
                <c:pt idx="197" formatCode="0">
                  <c:v>410.57142857142856</c:v>
                </c:pt>
                <c:pt idx="198" formatCode="0">
                  <c:v>423.28571428571428</c:v>
                </c:pt>
                <c:pt idx="199" formatCode="0">
                  <c:v>438.42857142857144</c:v>
                </c:pt>
                <c:pt idx="200" formatCode="0">
                  <c:v>449</c:v>
                </c:pt>
                <c:pt idx="201" formatCode="0">
                  <c:v>457</c:v>
                </c:pt>
                <c:pt idx="202" formatCode="0">
                  <c:v>478.42857142857144</c:v>
                </c:pt>
                <c:pt idx="203" formatCode="0">
                  <c:v>496.42857142857144</c:v>
                </c:pt>
                <c:pt idx="204" formatCode="0">
                  <c:v>472.57142857142856</c:v>
                </c:pt>
                <c:pt idx="205" formatCode="0">
                  <c:v>463</c:v>
                </c:pt>
                <c:pt idx="206" formatCode="0">
                  <c:v>428</c:v>
                </c:pt>
                <c:pt idx="207" formatCode="0">
                  <c:v>369.28571428571428</c:v>
                </c:pt>
                <c:pt idx="208" formatCode="0">
                  <c:v>352</c:v>
                </c:pt>
                <c:pt idx="209" formatCode="0">
                  <c:v>333</c:v>
                </c:pt>
                <c:pt idx="210" formatCode="0">
                  <c:v>341.14285714285717</c:v>
                </c:pt>
                <c:pt idx="211" formatCode="0">
                  <c:v>296.71428571428572</c:v>
                </c:pt>
                <c:pt idx="212" formatCode="0">
                  <c:v>299.14285714285717</c:v>
                </c:pt>
                <c:pt idx="213" formatCode="0">
                  <c:v>416.28571428571428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F-427C-BA42-E1AAFD635600}"/>
            </c:ext>
          </c:extLst>
        </c:ser>
        <c:ser>
          <c:idx val="1"/>
          <c:order val="1"/>
          <c:tx>
            <c:v>Modelled New Cases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Epidemic!$N$6:$N$219</c:f>
              <c:numCache>
                <c:formatCode>General</c:formatCode>
                <c:ptCount val="214"/>
                <c:pt idx="0">
                  <c:v>32.083380471380465</c:v>
                </c:pt>
                <c:pt idx="1">
                  <c:v>34.640920557469094</c:v>
                </c:pt>
                <c:pt idx="2">
                  <c:v>37.400867239595385</c:v>
                </c:pt>
                <c:pt idx="3">
                  <c:v>40.378995118315011</c:v>
                </c:pt>
                <c:pt idx="4">
                  <c:v>43.592267587773129</c:v>
                </c:pt>
                <c:pt idx="5">
                  <c:v>47.058919631602556</c:v>
                </c:pt>
                <c:pt idx="6">
                  <c:v>50.798545227018359</c:v>
                </c:pt>
                <c:pt idx="7">
                  <c:v>54.832189404301978</c:v>
                </c:pt>
                <c:pt idx="8">
                  <c:v>59.182444963179769</c:v>
                </c:pt>
                <c:pt idx="9">
                  <c:v>63.873553791085591</c:v>
                </c:pt>
                <c:pt idx="10">
                  <c:v>68.931512659161442</c:v>
                </c:pt>
                <c:pt idx="11">
                  <c:v>74.384183288069934</c:v>
                </c:pt>
                <c:pt idx="12">
                  <c:v>80.261406374989591</c:v>
                </c:pt>
                <c:pt idx="13">
                  <c:v>86.595119152997782</c:v>
                </c:pt>
                <c:pt idx="14">
                  <c:v>93.419475911590453</c:v>
                </c:pt>
                <c:pt idx="15">
                  <c:v>100.77097073923579</c:v>
                </c:pt>
                <c:pt idx="16">
                  <c:v>108.68856155220885</c:v>
                </c:pt>
                <c:pt idx="17">
                  <c:v>117.2137942448353</c:v>
                </c:pt>
                <c:pt idx="18">
                  <c:v>126.39092553075477</c:v>
                </c:pt>
                <c:pt idx="19">
                  <c:v>136.26704273876575</c:v>
                </c:pt>
                <c:pt idx="20">
                  <c:v>146.89217847595896</c:v>
                </c:pt>
                <c:pt idx="21">
                  <c:v>158.31941767087193</c:v>
                </c:pt>
                <c:pt idx="22">
                  <c:v>170.60499405608974</c:v>
                </c:pt>
                <c:pt idx="23">
                  <c:v>183.80837263915069</c:v>
                </c:pt>
                <c:pt idx="24">
                  <c:v>197.99231413940171</c:v>
                </c:pt>
                <c:pt idx="25">
                  <c:v>213.22291673405556</c:v>
                </c:pt>
                <c:pt idx="26">
                  <c:v>229.56962975786493</c:v>
                </c:pt>
                <c:pt idx="27">
                  <c:v>247.10523323804574</c:v>
                </c:pt>
                <c:pt idx="28">
                  <c:v>265.90577632225467</c:v>
                </c:pt>
                <c:pt idx="29">
                  <c:v>286.05046677858928</c:v>
                </c:pt>
                <c:pt idx="30">
                  <c:v>307.62150282280442</c:v>
                </c:pt>
                <c:pt idx="31">
                  <c:v>330.70383757437992</c:v>
                </c:pt>
                <c:pt idx="32">
                  <c:v>355.38486548114514</c:v>
                </c:pt>
                <c:pt idx="33">
                  <c:v>381.7540191108842</c:v>
                </c:pt>
                <c:pt idx="34">
                  <c:v>409.90226382578686</c:v>
                </c:pt>
                <c:pt idx="35">
                  <c:v>439.92147708043376</c:v>
                </c:pt>
                <c:pt idx="36">
                  <c:v>471.90369847698179</c:v>
                </c:pt>
                <c:pt idx="37">
                  <c:v>505.94023634668656</c:v>
                </c:pt>
                <c:pt idx="38">
                  <c:v>542.12061659394988</c:v>
                </c:pt>
                <c:pt idx="39">
                  <c:v>580.53135994230024</c:v>
                </c:pt>
                <c:pt idx="40">
                  <c:v>621.2545746812815</c:v>
                </c:pt>
                <c:pt idx="41">
                  <c:v>664.36635366392125</c:v>
                </c:pt>
                <c:pt idx="42">
                  <c:v>709.93496679338489</c:v>
                </c:pt>
                <c:pt idx="43">
                  <c:v>758.01884371982146</c:v>
                </c:pt>
                <c:pt idx="44">
                  <c:v>808.66434610123883</c:v>
                </c:pt>
                <c:pt idx="45">
                  <c:v>861.90333471493773</c:v>
                </c:pt>
                <c:pt idx="46">
                  <c:v>917.75054406811523</c:v>
                </c:pt>
                <c:pt idx="47">
                  <c:v>976.2007860413172</c:v>
                </c:pt>
                <c:pt idx="48">
                  <c:v>1037.2260145446348</c:v>
                </c:pt>
                <c:pt idx="49">
                  <c:v>1100.7722951335275</c:v>
                </c:pt>
                <c:pt idx="50">
                  <c:v>1166.75673687428</c:v>
                </c:pt>
                <c:pt idx="51">
                  <c:v>1235.0644581924478</c:v>
                </c:pt>
                <c:pt idx="52">
                  <c:v>1305.5456735474379</c:v>
                </c:pt>
                <c:pt idx="53">
                  <c:v>1378.0130029384895</c:v>
                </c:pt>
                <c:pt idx="54">
                  <c:v>1452.2391206520419</c:v>
                </c:pt>
                <c:pt idx="55">
                  <c:v>1527.9548722998434</c:v>
                </c:pt>
                <c:pt idx="56">
                  <c:v>1604.8479988797005</c:v>
                </c:pt>
                <c:pt idx="57">
                  <c:v>1682.5626119793469</c:v>
                </c:pt>
                <c:pt idx="58">
                  <c:v>1760.6995639207055</c:v>
                </c:pt>
                <c:pt idx="59">
                  <c:v>1838.8178492042478</c:v>
                </c:pt>
                <c:pt idx="60">
                  <c:v>1916.4371577994896</c:v>
                </c:pt>
                <c:pt idx="61">
                  <c:v>1993.0416756697873</c:v>
                </c:pt>
                <c:pt idx="62">
                  <c:v>2068.0851929120176</c:v>
                </c:pt>
                <c:pt idx="63">
                  <c:v>2140.9975351632243</c:v>
                </c:pt>
                <c:pt idx="64">
                  <c:v>2211.19228039263</c:v>
                </c:pt>
                <c:pt idx="65">
                  <c:v>2278.0756626705465</c:v>
                </c:pt>
                <c:pt idx="66">
                  <c:v>2341.0564997331144</c:v>
                </c:pt>
                <c:pt idx="67">
                  <c:v>2399.5569157710083</c:v>
                </c:pt>
                <c:pt idx="68">
                  <c:v>2453.0235692013457</c:v>
                </c:pt>
                <c:pt idx="69">
                  <c:v>2500.9390420029931</c:v>
                </c:pt>
                <c:pt idx="70">
                  <c:v>2542.8330073104012</c:v>
                </c:pt>
                <c:pt idx="71">
                  <c:v>2578.2927697421433</c:v>
                </c:pt>
                <c:pt idx="72">
                  <c:v>2606.9727718303152</c:v>
                </c:pt>
                <c:pt idx="73">
                  <c:v>2628.6026819647559</c:v>
                </c:pt>
                <c:pt idx="74">
                  <c:v>2642.993724762774</c:v>
                </c:pt>
                <c:pt idx="75">
                  <c:v>2650.0429820529043</c:v>
                </c:pt>
                <c:pt idx="76">
                  <c:v>2649.7354781019262</c:v>
                </c:pt>
                <c:pt idx="77">
                  <c:v>2642.1439609862146</c:v>
                </c:pt>
                <c:pt idx="78">
                  <c:v>2627.4263965166701</c:v>
                </c:pt>
                <c:pt idx="79">
                  <c:v>2605.8212946310691</c:v>
                </c:pt>
                <c:pt idx="80">
                  <c:v>2577.6410834897774</c:v>
                </c:pt>
                <c:pt idx="81">
                  <c:v>2543.2638272387189</c:v>
                </c:pt>
                <c:pt idx="82">
                  <c:v>2503.1236445024274</c:v>
                </c:pt>
                <c:pt idx="83">
                  <c:v>2457.7002229200239</c:v>
                </c:pt>
                <c:pt idx="84">
                  <c:v>2407.507839247658</c:v>
                </c:pt>
                <c:pt idx="85">
                  <c:v>2353.0842855382916</c:v>
                </c:pt>
                <c:pt idx="86">
                  <c:v>2294.9800722550845</c:v>
                </c:pt>
                <c:pt idx="87">
                  <c:v>2233.7482328162532</c:v>
                </c:pt>
                <c:pt idx="88">
                  <c:v>2169.9349957931099</c:v>
                </c:pt>
                <c:pt idx="89">
                  <c:v>2104.0715258887667</c:v>
                </c:pt>
                <c:pt idx="90">
                  <c:v>2036.6668678328497</c:v>
                </c:pt>
                <c:pt idx="91">
                  <c:v>1968.2021627779957</c:v>
                </c:pt>
                <c:pt idx="92">
                  <c:v>1899.1261481613458</c:v>
                </c:pt>
                <c:pt idx="93">
                  <c:v>1829.8519017831961</c:v>
                </c:pt>
                <c:pt idx="94">
                  <c:v>1760.7547505189898</c:v>
                </c:pt>
                <c:pt idx="95">
                  <c:v>1692.1712341422044</c:v>
                </c:pt>
                <c:pt idx="96">
                  <c:v>1624.398994924544</c:v>
                </c:pt>
                <c:pt idx="97">
                  <c:v>1557.6974531225369</c:v>
                </c:pt>
                <c:pt idx="98">
                  <c:v>1492.2891258768584</c:v>
                </c:pt>
                <c:pt idx="99">
                  <c:v>1428.3614509442816</c:v>
                </c:pt>
                <c:pt idx="100">
                  <c:v>1366.068985493941</c:v>
                </c:pt>
                <c:pt idx="101">
                  <c:v>1305.5358624357978</c:v>
                </c:pt>
                <c:pt idx="102">
                  <c:v>1246.858401067193</c:v>
                </c:pt>
                <c:pt idx="103">
                  <c:v>1190.1077840834419</c:v>
                </c:pt>
                <c:pt idx="104">
                  <c:v>1135.3327282864964</c:v>
                </c:pt>
                <c:pt idx="105">
                  <c:v>1082.5620909522831</c:v>
                </c:pt>
                <c:pt idx="106">
                  <c:v>1031.8073673009803</c:v>
                </c:pt>
                <c:pt idx="107">
                  <c:v>983.06504655475396</c:v>
                </c:pt>
                <c:pt idx="108">
                  <c:v>936.31880451334405</c:v>
                </c:pt>
                <c:pt idx="109">
                  <c:v>891.54151939515543</c:v>
                </c:pt>
                <c:pt idx="110">
                  <c:v>848.69710493225989</c:v>
                </c:pt>
                <c:pt idx="111">
                  <c:v>807.74216048308165</c:v>
                </c:pt>
                <c:pt idx="112">
                  <c:v>768.62744238420589</c:v>
                </c:pt>
                <c:pt idx="113">
                  <c:v>731.29916406869609</c:v>
                </c:pt>
                <c:pt idx="114">
                  <c:v>695.70013480330533</c:v>
                </c:pt>
                <c:pt idx="115">
                  <c:v>661.77074840664397</c:v>
                </c:pt>
                <c:pt idx="116">
                  <c:v>629.44983415875811</c:v>
                </c:pt>
                <c:pt idx="117">
                  <c:v>598.675382438253</c:v>
                </c:pt>
                <c:pt idx="118">
                  <c:v>569.38515754723164</c:v>
                </c:pt>
                <c:pt idx="119">
                  <c:v>541.51720981039932</c:v>
                </c:pt>
                <c:pt idx="120">
                  <c:v>515.01029844905509</c:v>
                </c:pt>
                <c:pt idx="121">
                  <c:v>489.80423600390617</c:v>
                </c:pt>
                <c:pt idx="122">
                  <c:v>465.84016426910279</c:v>
                </c:pt>
                <c:pt idx="123">
                  <c:v>443.06077084763746</c:v>
                </c:pt>
                <c:pt idx="124">
                  <c:v>421.41045457884769</c:v>
                </c:pt>
                <c:pt idx="125">
                  <c:v>400.83544724695111</c:v>
                </c:pt>
                <c:pt idx="126">
                  <c:v>381.2838981729231</c:v>
                </c:pt>
                <c:pt idx="127">
                  <c:v>362.70592753240925</c:v>
                </c:pt>
                <c:pt idx="128">
                  <c:v>345.0536535370054</c:v>
                </c:pt>
                <c:pt idx="129">
                  <c:v>328.28119796891144</c:v>
                </c:pt>
                <c:pt idx="130">
                  <c:v>312.34467397076759</c:v>
                </c:pt>
                <c:pt idx="131">
                  <c:v>297.20215946260726</c:v>
                </c:pt>
                <c:pt idx="132">
                  <c:v>282.81365908411271</c:v>
                </c:pt>
                <c:pt idx="133">
                  <c:v>269.14105713963284</c:v>
                </c:pt>
                <c:pt idx="134">
                  <c:v>256.14806365204652</c:v>
                </c:pt>
                <c:pt idx="135">
                  <c:v>243.80015530555315</c:v>
                </c:pt>
                <c:pt idx="136">
                  <c:v>232.06451277276796</c:v>
                </c:pt>
                <c:pt idx="137">
                  <c:v>220.90995567406176</c:v>
                </c:pt>
                <c:pt idx="138">
                  <c:v>210.30687620302058</c:v>
                </c:pt>
                <c:pt idx="139">
                  <c:v>200.22717226752857</c:v>
                </c:pt>
                <c:pt idx="140">
                  <c:v>190.64418083787709</c:v>
                </c:pt>
                <c:pt idx="141">
                  <c:v>181.53261205830904</c:v>
                </c:pt>
                <c:pt idx="142">
                  <c:v>172.86848456366312</c:v>
                </c:pt>
                <c:pt idx="143">
                  <c:v>164.62906234568115</c:v>
                </c:pt>
                <c:pt idx="144">
                  <c:v>156.79279343177194</c:v>
                </c:pt>
                <c:pt idx="145">
                  <c:v>149.33925057050953</c:v>
                </c:pt>
                <c:pt idx="146">
                  <c:v>142.24907406105564</c:v>
                </c:pt>
                <c:pt idx="147">
                  <c:v>135.5039168164204</c:v>
                </c:pt>
                <c:pt idx="148">
                  <c:v>129.08639171159442</c:v>
                </c:pt>
                <c:pt idx="149">
                  <c:v>122.98002123586524</c:v>
                </c:pt>
                <c:pt idx="150">
                  <c:v>117.16918944299451</c:v>
                </c:pt>
                <c:pt idx="151">
                  <c:v>111.63909617244499</c:v>
                </c:pt>
                <c:pt idx="152">
                  <c:v>106.37571349870166</c:v>
                </c:pt>
                <c:pt idx="153">
                  <c:v>101.36574435323584</c:v>
                </c:pt>
                <c:pt idx="154">
                  <c:v>96.596583254214494</c:v>
                </c:pt>
                <c:pt idx="155">
                  <c:v>92.056279072148243</c:v>
                </c:pt>
                <c:pt idx="156">
                  <c:v>87.733499754864965</c:v>
                </c:pt>
                <c:pt idx="157">
                  <c:v>83.617498932117229</c:v>
                </c:pt>
                <c:pt idx="158">
                  <c:v>79.69808431846424</c:v>
                </c:pt>
                <c:pt idx="159">
                  <c:v>75.96558783254747</c:v>
                </c:pt>
                <c:pt idx="160">
                  <c:v>72.410837351274182</c:v>
                </c:pt>
                <c:pt idx="161">
                  <c:v>69.025130018546335</c:v>
                </c:pt>
                <c:pt idx="162">
                  <c:v>65.800207029864808</c:v>
                </c:pt>
                <c:pt idx="163">
                  <c:v>62.728229816265291</c:v>
                </c:pt>
                <c:pt idx="164">
                  <c:v>59.801757553494269</c:v>
                </c:pt>
                <c:pt idx="165">
                  <c:v>57.013725925018008</c:v>
                </c:pt>
                <c:pt idx="166">
                  <c:v>54.357427070299401</c:v>
                </c:pt>
                <c:pt idx="167">
                  <c:v>51.826490652716245</c:v>
                </c:pt>
                <c:pt idx="168">
                  <c:v>49.414865984477828</c:v>
                </c:pt>
                <c:pt idx="169">
                  <c:v>47.116805148887238</c:v>
                </c:pt>
                <c:pt idx="170">
                  <c:v>44.926847063259977</c:v>
                </c:pt>
                <c:pt idx="171">
                  <c:v>42.839802428721072</c:v>
                </c:pt>
                <c:pt idx="172">
                  <c:v>40.850739515944831</c:v>
                </c:pt>
                <c:pt idx="173">
                  <c:v>38.95497073865598</c:v>
                </c:pt>
                <c:pt idx="174">
                  <c:v>37.148039969370757</c:v>
                </c:pt>
                <c:pt idx="175">
                  <c:v>35.425710554411872</c:v>
                </c:pt>
                <c:pt idx="176">
                  <c:v>33.783953987678167</c:v>
                </c:pt>
                <c:pt idx="177">
                  <c:v>32.218939204985439</c:v>
                </c:pt>
                <c:pt idx="178">
                  <c:v>30.727022463018969</c:v>
                </c:pt>
                <c:pt idx="179">
                  <c:v>29.3047377690494</c:v>
                </c:pt>
                <c:pt idx="180">
                  <c:v>27.94878782956641</c:v>
                </c:pt>
                <c:pt idx="181">
                  <c:v>26.656035487877986</c:v>
                </c:pt>
                <c:pt idx="182">
                  <c:v>25.423495622513052</c:v>
                </c:pt>
                <c:pt idx="183">
                  <c:v>24.24832747995352</c:v>
                </c:pt>
                <c:pt idx="184">
                  <c:v>23.12782741681297</c:v>
                </c:pt>
                <c:pt idx="185">
                  <c:v>22.059422028077229</c:v>
                </c:pt>
                <c:pt idx="186">
                  <c:v>21.040661639431512</c:v>
                </c:pt>
                <c:pt idx="187">
                  <c:v>20.069214143022933</c:v>
                </c:pt>
                <c:pt idx="188">
                  <c:v>19.142859157251984</c:v>
                </c:pt>
                <c:pt idx="189">
                  <c:v>18.259482492354362</c:v>
                </c:pt>
                <c:pt idx="190">
                  <c:v>17.417070904631156</c:v>
                </c:pt>
                <c:pt idx="191">
                  <c:v>16.613707123213612</c:v>
                </c:pt>
                <c:pt idx="192">
                  <c:v>15.847565134213477</c:v>
                </c:pt>
                <c:pt idx="193">
                  <c:v>15.116905708014166</c:v>
                </c:pt>
                <c:pt idx="194">
                  <c:v>14.420072156305736</c:v>
                </c:pt>
                <c:pt idx="195">
                  <c:v>13.755486306261625</c:v>
                </c:pt>
                <c:pt idx="196">
                  <c:v>13.121644679999768</c:v>
                </c:pt>
                <c:pt idx="197">
                  <c:v>12.517114868169008</c:v>
                </c:pt>
                <c:pt idx="198">
                  <c:v>11.940532087156074</c:v>
                </c:pt>
                <c:pt idx="199">
                  <c:v>11.390595910021931</c:v>
                </c:pt>
                <c:pt idx="200">
                  <c:v>10.866067161851189</c:v>
                </c:pt>
                <c:pt idx="201">
                  <c:v>10.36576497073759</c:v>
                </c:pt>
                <c:pt idx="202">
                  <c:v>9.8885639661341074</c:v>
                </c:pt>
                <c:pt idx="203">
                  <c:v>9.4333916167703489</c:v>
                </c:pt>
                <c:pt idx="204">
                  <c:v>8.9992257007848124</c:v>
                </c:pt>
                <c:pt idx="205">
                  <c:v>8.5850919011369111</c:v>
                </c:pt>
                <c:pt idx="206">
                  <c:v>8.1900615197553801</c:v>
                </c:pt>
                <c:pt idx="207">
                  <c:v>7.8132493042473969</c:v>
                </c:pt>
                <c:pt idx="208">
                  <c:v>7.4538113813380571</c:v>
                </c:pt>
                <c:pt idx="209">
                  <c:v>7.1109432915341717</c:v>
                </c:pt>
                <c:pt idx="210">
                  <c:v>6.7838781198110798</c:v>
                </c:pt>
                <c:pt idx="211">
                  <c:v>6.4718847174075753</c:v>
                </c:pt>
                <c:pt idx="212">
                  <c:v>6.1742660100833424</c:v>
                </c:pt>
                <c:pt idx="213">
                  <c:v>5.89035738844645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F-427C-BA42-E1AAFD635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58000"/>
        <c:axId val="1433946000"/>
      </c:lineChart>
      <c:dateAx>
        <c:axId val="14339580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946000"/>
        <c:crosses val="autoZero"/>
        <c:auto val="1"/>
        <c:lblOffset val="100"/>
        <c:baseTimeUnit val="days"/>
      </c:dateAx>
      <c:valAx>
        <c:axId val="14339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9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Susceptible,</a:t>
            </a:r>
            <a:r>
              <a:rPr lang="en-PH" baseline="0"/>
              <a:t> Infected, and Recovered Model</a:t>
            </a:r>
          </a:p>
          <a:p>
            <a:pPr>
              <a:defRPr/>
            </a:pPr>
            <a:r>
              <a:rPr lang="en-PH" baseline="0"/>
              <a:t>Infection Rate = 6.6, N = 180000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Susceptible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Epidemic!$G$6:$G$219</c:f>
              <c:numCache>
                <c:formatCode>0</c:formatCode>
                <c:ptCount val="214"/>
                <c:pt idx="0" formatCode="General">
                  <c:v>179788</c:v>
                </c:pt>
                <c:pt idx="1">
                  <c:v>179755.91661952861</c:v>
                </c:pt>
                <c:pt idx="2">
                  <c:v>179721.27569897115</c:v>
                </c:pt>
                <c:pt idx="3">
                  <c:v>179683.87483173155</c:v>
                </c:pt>
                <c:pt idx="4">
                  <c:v>179643.49583661323</c:v>
                </c:pt>
                <c:pt idx="5">
                  <c:v>179599.90356902545</c:v>
                </c:pt>
                <c:pt idx="6">
                  <c:v>179552.84464939384</c:v>
                </c:pt>
                <c:pt idx="7">
                  <c:v>179502.04610416683</c:v>
                </c:pt>
                <c:pt idx="8">
                  <c:v>179447.21391476254</c:v>
                </c:pt>
                <c:pt idx="9">
                  <c:v>179388.03146979937</c:v>
                </c:pt>
                <c:pt idx="10">
                  <c:v>179324.15791600829</c:v>
                </c:pt>
                <c:pt idx="11">
                  <c:v>179255.22640334914</c:v>
                </c:pt>
                <c:pt idx="12">
                  <c:v>179180.84222006108</c:v>
                </c:pt>
                <c:pt idx="13">
                  <c:v>179100.5808136861</c:v>
                </c:pt>
                <c:pt idx="14">
                  <c:v>179013.9856945331</c:v>
                </c:pt>
                <c:pt idx="15">
                  <c:v>178920.5662186215</c:v>
                </c:pt>
                <c:pt idx="16">
                  <c:v>178819.79524788226</c:v>
                </c:pt>
                <c:pt idx="17">
                  <c:v>178711.10668633005</c:v>
                </c:pt>
                <c:pt idx="18">
                  <c:v>178593.89289208522</c:v>
                </c:pt>
                <c:pt idx="19">
                  <c:v>178467.50196655447</c:v>
                </c:pt>
                <c:pt idx="20">
                  <c:v>178331.2349238157</c:v>
                </c:pt>
                <c:pt idx="21">
                  <c:v>178184.34274533973</c:v>
                </c:pt>
                <c:pt idx="22">
                  <c:v>178026.02332766887</c:v>
                </c:pt>
                <c:pt idx="23">
                  <c:v>177855.41833361279</c:v>
                </c:pt>
                <c:pt idx="24">
                  <c:v>177671.60996097364</c:v>
                </c:pt>
                <c:pt idx="25">
                  <c:v>177473.61764683423</c:v>
                </c:pt>
                <c:pt idx="26">
                  <c:v>177260.39473010018</c:v>
                </c:pt>
                <c:pt idx="27">
                  <c:v>177030.82510034231</c:v>
                </c:pt>
                <c:pt idx="28">
                  <c:v>176783.71986710426</c:v>
                </c:pt>
                <c:pt idx="29">
                  <c:v>176517.81409078199</c:v>
                </c:pt>
                <c:pt idx="30">
                  <c:v>176231.76362400339</c:v>
                </c:pt>
                <c:pt idx="31">
                  <c:v>175924.14212118057</c:v>
                </c:pt>
                <c:pt idx="32">
                  <c:v>175593.4382836062</c:v>
                </c:pt>
                <c:pt idx="33">
                  <c:v>175238.05341812506</c:v>
                </c:pt>
                <c:pt idx="34">
                  <c:v>174856.29939901418</c:v>
                </c:pt>
                <c:pt idx="35">
                  <c:v>174446.3971351884</c:v>
                </c:pt>
                <c:pt idx="36">
                  <c:v>174006.47565810796</c:v>
                </c:pt>
                <c:pt idx="37">
                  <c:v>173534.57195963096</c:v>
                </c:pt>
                <c:pt idx="38">
                  <c:v>173028.63172328428</c:v>
                </c:pt>
                <c:pt idx="39">
                  <c:v>172486.51110669033</c:v>
                </c:pt>
                <c:pt idx="40">
                  <c:v>171905.97974674802</c:v>
                </c:pt>
                <c:pt idx="41">
                  <c:v>171284.72517206674</c:v>
                </c:pt>
                <c:pt idx="42">
                  <c:v>170620.35881840283</c:v>
                </c:pt>
                <c:pt idx="43">
                  <c:v>169910.42385160946</c:v>
                </c:pt>
                <c:pt idx="44">
                  <c:v>169152.40500788964</c:v>
                </c:pt>
                <c:pt idx="45">
                  <c:v>168343.74066178841</c:v>
                </c:pt>
                <c:pt idx="46">
                  <c:v>167481.83732707347</c:v>
                </c:pt>
                <c:pt idx="47">
                  <c:v>166564.08678300536</c:v>
                </c:pt>
                <c:pt idx="48">
                  <c:v>165587.88599696403</c:v>
                </c:pt>
                <c:pt idx="49">
                  <c:v>164550.6599824194</c:v>
                </c:pt>
                <c:pt idx="50">
                  <c:v>163449.88768728587</c:v>
                </c:pt>
                <c:pt idx="51">
                  <c:v>162283.13095041158</c:v>
                </c:pt>
                <c:pt idx="52">
                  <c:v>161048.06649221914</c:v>
                </c:pt>
                <c:pt idx="53">
                  <c:v>159742.52081867171</c:v>
                </c:pt>
                <c:pt idx="54">
                  <c:v>158364.5078157332</c:v>
                </c:pt>
                <c:pt idx="55">
                  <c:v>156912.26869508115</c:v>
                </c:pt>
                <c:pt idx="56">
                  <c:v>155384.31382278132</c:v>
                </c:pt>
                <c:pt idx="57">
                  <c:v>153779.46582390161</c:v>
                </c:pt>
                <c:pt idx="58">
                  <c:v>152096.90321192227</c:v>
                </c:pt>
                <c:pt idx="59">
                  <c:v>150336.20364800157</c:v>
                </c:pt>
                <c:pt idx="60">
                  <c:v>148497.38579879733</c:v>
                </c:pt>
                <c:pt idx="61">
                  <c:v>146580.94864099784</c:v>
                </c:pt>
                <c:pt idx="62">
                  <c:v>144587.90696532806</c:v>
                </c:pt>
                <c:pt idx="63">
                  <c:v>142519.82177241603</c:v>
                </c:pt>
                <c:pt idx="64">
                  <c:v>140378.82423725282</c:v>
                </c:pt>
                <c:pt idx="65">
                  <c:v>138167.63195686019</c:v>
                </c:pt>
                <c:pt idx="66">
                  <c:v>135889.55629418965</c:v>
                </c:pt>
                <c:pt idx="67">
                  <c:v>133548.49979445653</c:v>
                </c:pt>
                <c:pt idx="68">
                  <c:v>131148.94287868551</c:v>
                </c:pt>
                <c:pt idx="69">
                  <c:v>128695.91930948416</c:v>
                </c:pt>
                <c:pt idx="70">
                  <c:v>126194.98026748117</c:v>
                </c:pt>
                <c:pt idx="71">
                  <c:v>123652.14726017076</c:v>
                </c:pt>
                <c:pt idx="72">
                  <c:v>121073.85449042862</c:v>
                </c:pt>
                <c:pt idx="73">
                  <c:v>118466.88171859831</c:v>
                </c:pt>
                <c:pt idx="74">
                  <c:v>115838.27903663355</c:v>
                </c:pt>
                <c:pt idx="75">
                  <c:v>113195.28531187079</c:v>
                </c:pt>
                <c:pt idx="76">
                  <c:v>110545.24232981788</c:v>
                </c:pt>
                <c:pt idx="77">
                  <c:v>107895.50685171595</c:v>
                </c:pt>
                <c:pt idx="78">
                  <c:v>105253.36289072974</c:v>
                </c:pt>
                <c:pt idx="79">
                  <c:v>102625.93649421306</c:v>
                </c:pt>
                <c:pt idx="80">
                  <c:v>100020.115199582</c:v>
                </c:pt>
                <c:pt idx="81">
                  <c:v>97442.474116092213</c:v>
                </c:pt>
                <c:pt idx="82">
                  <c:v>94899.210288853501</c:v>
                </c:pt>
                <c:pt idx="83">
                  <c:v>92396.086644351075</c:v>
                </c:pt>
                <c:pt idx="84">
                  <c:v>89938.386421431045</c:v>
                </c:pt>
                <c:pt idx="85">
                  <c:v>87530.878582183388</c:v>
                </c:pt>
                <c:pt idx="86">
                  <c:v>85177.794296645094</c:v>
                </c:pt>
                <c:pt idx="87">
                  <c:v>82882.814224390007</c:v>
                </c:pt>
                <c:pt idx="88">
                  <c:v>80649.065991573749</c:v>
                </c:pt>
                <c:pt idx="89">
                  <c:v>78479.130995780637</c:v>
                </c:pt>
                <c:pt idx="90">
                  <c:v>76375.059469891872</c:v>
                </c:pt>
                <c:pt idx="91">
                  <c:v>74338.39260205903</c:v>
                </c:pt>
                <c:pt idx="92">
                  <c:v>72370.190439281039</c:v>
                </c:pt>
                <c:pt idx="93">
                  <c:v>70471.064291119692</c:v>
                </c:pt>
                <c:pt idx="94">
                  <c:v>68641.212389336491</c:v>
                </c:pt>
                <c:pt idx="95">
                  <c:v>66880.457638817505</c:v>
                </c:pt>
                <c:pt idx="96">
                  <c:v>65188.286404675302</c:v>
                </c:pt>
                <c:pt idx="97">
                  <c:v>63563.887409750758</c:v>
                </c:pt>
                <c:pt idx="98">
                  <c:v>62006.189956628223</c:v>
                </c:pt>
                <c:pt idx="99">
                  <c:v>60513.900830751365</c:v>
                </c:pt>
                <c:pt idx="100">
                  <c:v>59085.53937980708</c:v>
                </c:pt>
                <c:pt idx="101">
                  <c:v>57719.470394313139</c:v>
                </c:pt>
                <c:pt idx="102">
                  <c:v>56413.934531877341</c:v>
                </c:pt>
                <c:pt idx="103">
                  <c:v>55167.07613081015</c:v>
                </c:pt>
                <c:pt idx="104">
                  <c:v>53976.96834672671</c:v>
                </c:pt>
                <c:pt idx="105">
                  <c:v>52841.63561844021</c:v>
                </c:pt>
                <c:pt idx="106">
                  <c:v>51759.073527487926</c:v>
                </c:pt>
                <c:pt idx="107">
                  <c:v>50727.266160186948</c:v>
                </c:pt>
                <c:pt idx="108">
                  <c:v>49744.201113632196</c:v>
                </c:pt>
                <c:pt idx="109">
                  <c:v>48807.882309118853</c:v>
                </c:pt>
                <c:pt idx="110">
                  <c:v>47916.340789723698</c:v>
                </c:pt>
                <c:pt idx="111">
                  <c:v>47067.643684791437</c:v>
                </c:pt>
                <c:pt idx="112">
                  <c:v>46259.901524308356</c:v>
                </c:pt>
                <c:pt idx="113">
                  <c:v>45491.274081924152</c:v>
                </c:pt>
                <c:pt idx="114">
                  <c:v>44759.974917855456</c:v>
                </c:pt>
                <c:pt idx="115">
                  <c:v>44064.274783052148</c:v>
                </c:pt>
                <c:pt idx="116">
                  <c:v>43402.504034645506</c:v>
                </c:pt>
                <c:pt idx="117">
                  <c:v>42773.054200486746</c:v>
                </c:pt>
                <c:pt idx="118">
                  <c:v>42174.378818048492</c:v>
                </c:pt>
                <c:pt idx="119">
                  <c:v>41604.993660501263</c:v>
                </c:pt>
                <c:pt idx="120">
                  <c:v>41063.476450690861</c:v>
                </c:pt>
                <c:pt idx="121">
                  <c:v>40548.466152241803</c:v>
                </c:pt>
                <c:pt idx="122">
                  <c:v>40058.661916237899</c:v>
                </c:pt>
                <c:pt idx="123">
                  <c:v>39592.821751968797</c:v>
                </c:pt>
                <c:pt idx="124">
                  <c:v>39149.760981121159</c:v>
                </c:pt>
                <c:pt idx="125">
                  <c:v>38728.350526542308</c:v>
                </c:pt>
                <c:pt idx="126">
                  <c:v>38327.515079295357</c:v>
                </c:pt>
                <c:pt idx="127">
                  <c:v>37946.231181122435</c:v>
                </c:pt>
                <c:pt idx="128">
                  <c:v>37583.525253590029</c:v>
                </c:pt>
                <c:pt idx="129">
                  <c:v>37238.471600053024</c:v>
                </c:pt>
                <c:pt idx="130">
                  <c:v>36910.19040208411</c:v>
                </c:pt>
                <c:pt idx="131">
                  <c:v>36597.845728113345</c:v>
                </c:pt>
                <c:pt idx="132">
                  <c:v>36300.643568650739</c:v>
                </c:pt>
                <c:pt idx="133">
                  <c:v>36017.82990956663</c:v>
                </c:pt>
                <c:pt idx="134">
                  <c:v>35748.688852426996</c:v>
                </c:pt>
                <c:pt idx="135">
                  <c:v>35492.540788774946</c:v>
                </c:pt>
                <c:pt idx="136">
                  <c:v>35248.740633469395</c:v>
                </c:pt>
                <c:pt idx="137">
                  <c:v>35016.676120696626</c:v>
                </c:pt>
                <c:pt idx="138">
                  <c:v>34795.766165022564</c:v>
                </c:pt>
                <c:pt idx="139">
                  <c:v>34585.45928881954</c:v>
                </c:pt>
                <c:pt idx="140">
                  <c:v>34385.232116552012</c:v>
                </c:pt>
                <c:pt idx="141">
                  <c:v>34194.587935714131</c:v>
                </c:pt>
                <c:pt idx="142">
                  <c:v>34013.055323655819</c:v>
                </c:pt>
                <c:pt idx="143">
                  <c:v>33840.186839092159</c:v>
                </c:pt>
                <c:pt idx="144">
                  <c:v>33675.557776746478</c:v>
                </c:pt>
                <c:pt idx="145">
                  <c:v>33518.764983314708</c:v>
                </c:pt>
                <c:pt idx="146">
                  <c:v>33369.425732744196</c:v>
                </c:pt>
                <c:pt idx="147">
                  <c:v>33227.176658683136</c:v>
                </c:pt>
                <c:pt idx="148">
                  <c:v>33091.672741866714</c:v>
                </c:pt>
                <c:pt idx="149">
                  <c:v>32962.586350155121</c:v>
                </c:pt>
                <c:pt idx="150">
                  <c:v>32839.606328919253</c:v>
                </c:pt>
                <c:pt idx="151">
                  <c:v>32722.43713947626</c:v>
                </c:pt>
                <c:pt idx="152">
                  <c:v>32610.798043303814</c:v>
                </c:pt>
                <c:pt idx="153">
                  <c:v>32504.422329805111</c:v>
                </c:pt>
                <c:pt idx="154">
                  <c:v>32403.056585451875</c:v>
                </c:pt>
                <c:pt idx="155">
                  <c:v>32306.460002197662</c:v>
                </c:pt>
                <c:pt idx="156">
                  <c:v>32214.403723125513</c:v>
                </c:pt>
                <c:pt idx="157">
                  <c:v>32126.670223370649</c:v>
                </c:pt>
                <c:pt idx="158">
                  <c:v>32043.05272443853</c:v>
                </c:pt>
                <c:pt idx="159">
                  <c:v>31963.354640120066</c:v>
                </c:pt>
                <c:pt idx="160">
                  <c:v>31887.389052287519</c:v>
                </c:pt>
                <c:pt idx="161">
                  <c:v>31814.978214936244</c:v>
                </c:pt>
                <c:pt idx="162">
                  <c:v>31745.953084917699</c:v>
                </c:pt>
                <c:pt idx="163">
                  <c:v>31680.152877887835</c:v>
                </c:pt>
                <c:pt idx="164">
                  <c:v>31617.42464807157</c:v>
                </c:pt>
                <c:pt idx="165">
                  <c:v>31557.622890518076</c:v>
                </c:pt>
                <c:pt idx="166">
                  <c:v>31500.609164593057</c:v>
                </c:pt>
                <c:pt idx="167">
                  <c:v>31446.251737522758</c:v>
                </c:pt>
                <c:pt idx="168">
                  <c:v>31394.425246870043</c:v>
                </c:pt>
                <c:pt idx="169">
                  <c:v>31345.010380885564</c:v>
                </c:pt>
                <c:pt idx="170">
                  <c:v>31297.893575736678</c:v>
                </c:pt>
                <c:pt idx="171">
                  <c:v>31252.966728673418</c:v>
                </c:pt>
                <c:pt idx="172">
                  <c:v>31210.126926244699</c:v>
                </c:pt>
                <c:pt idx="173">
                  <c:v>31169.276186728755</c:v>
                </c:pt>
                <c:pt idx="174">
                  <c:v>31130.321215990098</c:v>
                </c:pt>
                <c:pt idx="175">
                  <c:v>31093.173176020726</c:v>
                </c:pt>
                <c:pt idx="176">
                  <c:v>31057.747465466313</c:v>
                </c:pt>
                <c:pt idx="177">
                  <c:v>31023.963511478636</c:v>
                </c:pt>
                <c:pt idx="178">
                  <c:v>30991.744572273652</c:v>
                </c:pt>
                <c:pt idx="179">
                  <c:v>30961.017549810633</c:v>
                </c:pt>
                <c:pt idx="180">
                  <c:v>30931.712812041584</c:v>
                </c:pt>
                <c:pt idx="181">
                  <c:v>30903.764024212018</c:v>
                </c:pt>
                <c:pt idx="182">
                  <c:v>30877.107988724139</c:v>
                </c:pt>
                <c:pt idx="183">
                  <c:v>30851.684493101628</c:v>
                </c:pt>
                <c:pt idx="184">
                  <c:v>30827.436165621675</c:v>
                </c:pt>
                <c:pt idx="185">
                  <c:v>30804.308338204861</c:v>
                </c:pt>
                <c:pt idx="186">
                  <c:v>30782.248916176784</c:v>
                </c:pt>
                <c:pt idx="187">
                  <c:v>30761.208254537352</c:v>
                </c:pt>
                <c:pt idx="188">
                  <c:v>30741.13904039433</c:v>
                </c:pt>
                <c:pt idx="189">
                  <c:v>30721.996181237078</c:v>
                </c:pt>
                <c:pt idx="190">
                  <c:v>30703.736698744724</c:v>
                </c:pt>
                <c:pt idx="191">
                  <c:v>30686.319627840094</c:v>
                </c:pt>
                <c:pt idx="192">
                  <c:v>30669.705920716879</c:v>
                </c:pt>
                <c:pt idx="193">
                  <c:v>30653.858355582666</c:v>
                </c:pt>
                <c:pt idx="194">
                  <c:v>30638.741449874651</c:v>
                </c:pt>
                <c:pt idx="195">
                  <c:v>30624.321377718345</c:v>
                </c:pt>
                <c:pt idx="196">
                  <c:v>30610.565891412083</c:v>
                </c:pt>
                <c:pt idx="197">
                  <c:v>30597.444246732084</c:v>
                </c:pt>
                <c:pt idx="198">
                  <c:v>30584.927131863915</c:v>
                </c:pt>
                <c:pt idx="199">
                  <c:v>30572.986599776759</c:v>
                </c:pt>
                <c:pt idx="200">
                  <c:v>30561.596003866736</c:v>
                </c:pt>
                <c:pt idx="201">
                  <c:v>30550.729936704884</c:v>
                </c:pt>
                <c:pt idx="202">
                  <c:v>30540.364171734145</c:v>
                </c:pt>
                <c:pt idx="203">
                  <c:v>30530.47560776801</c:v>
                </c:pt>
                <c:pt idx="204">
                  <c:v>30521.04221615124</c:v>
                </c:pt>
                <c:pt idx="205">
                  <c:v>30512.042990450456</c:v>
                </c:pt>
                <c:pt idx="206">
                  <c:v>30503.457898549321</c:v>
                </c:pt>
                <c:pt idx="207">
                  <c:v>30495.267837029565</c:v>
                </c:pt>
                <c:pt idx="208">
                  <c:v>30487.454587725319</c:v>
                </c:pt>
                <c:pt idx="209">
                  <c:v>30480.000776343979</c:v>
                </c:pt>
                <c:pt idx="210">
                  <c:v>30472.889833052446</c:v>
                </c:pt>
                <c:pt idx="211">
                  <c:v>30466.105954932635</c:v>
                </c:pt>
                <c:pt idx="212">
                  <c:v>30459.634070215227</c:v>
                </c:pt>
                <c:pt idx="213">
                  <c:v>30453.459804205144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75-4BBE-9725-F3AC47AC8A50}"/>
            </c:ext>
          </c:extLst>
        </c:ser>
        <c:ser>
          <c:idx val="2"/>
          <c:order val="2"/>
          <c:tx>
            <c:v>Infected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Epidemic!$H$6:$H$219</c:f>
              <c:numCache>
                <c:formatCode>0</c:formatCode>
                <c:ptCount val="214"/>
                <c:pt idx="0" formatCode="General">
                  <c:v>212</c:v>
                </c:pt>
                <c:pt idx="1">
                  <c:v>228.94052332852331</c:v>
                </c:pt>
                <c:pt idx="2">
                  <c:v>247.22854936252645</c:v>
                </c:pt>
                <c:pt idx="3">
                  <c:v>266.9702345047985</c:v>
                </c:pt>
                <c:pt idx="4">
                  <c:v>288.27992715848507</c:v>
                </c:pt>
                <c:pt idx="5">
                  <c:v>311.28077137779496</c:v>
                </c:pt>
                <c:pt idx="6">
                  <c:v>336.10535019669788</c:v>
                </c:pt>
                <c:pt idx="7">
                  <c:v>362.89637040966642</c:v>
                </c:pt>
                <c:pt idx="8">
                  <c:v>391.80739049899222</c:v>
                </c:pt>
                <c:pt idx="9">
                  <c:v>423.00359328367256</c:v>
                </c:pt>
                <c:pt idx="10">
                  <c:v>456.66260469735295</c:v>
                </c:pt>
                <c:pt idx="11">
                  <c:v>492.97535987813205</c:v>
                </c:pt>
                <c:pt idx="12">
                  <c:v>532.1470174606211</c:v>
                </c:pt>
                <c:pt idx="13">
                  <c:v>574.39792258842351</c:v>
                </c:pt>
                <c:pt idx="14">
                  <c:v>619.96461869939105</c:v>
                </c:pt>
                <c:pt idx="15">
                  <c:v>669.100907561025</c:v>
                </c:pt>
                <c:pt idx="16">
                  <c:v>722.07895633161615</c:v>
                </c:pt>
                <c:pt idx="17">
                  <c:v>779.19044957442384</c:v>
                </c:pt>
                <c:pt idx="18">
                  <c:v>840.74778313537172</c:v>
                </c:pt>
                <c:pt idx="19">
                  <c:v>907.08529558502846</c:v>
                </c:pt>
                <c:pt idx="20">
                  <c:v>978.56053149629224</c:v>
                </c:pt>
                <c:pt idx="21">
                  <c:v>1055.5555291510875</c:v>
                </c:pt>
                <c:pt idx="22">
                  <c:v>1138.4781233111676</c:v>
                </c:pt>
                <c:pt idx="23">
                  <c:v>1227.7632514164595</c:v>
                </c:pt>
                <c:pt idx="24">
                  <c:v>1323.8742489544345</c:v>
                </c:pt>
                <c:pt idx="25">
                  <c:v>1427.3041167399481</c:v>
                </c:pt>
                <c:pt idx="26">
                  <c:v>1538.5767394211503</c:v>
                </c:pt>
                <c:pt idx="27">
                  <c:v>1658.2480306489331</c:v>
                </c:pt>
                <c:pt idx="28">
                  <c:v>1786.9069759834836</c:v>
                </c:pt>
                <c:pt idx="29">
                  <c:v>1925.1765397354893</c:v>
                </c:pt>
                <c:pt idx="30">
                  <c:v>2073.7143965329724</c:v>
                </c:pt>
                <c:pt idx="31">
                  <c:v>2233.2134424605647</c:v>
                </c:pt>
                <c:pt idx="32">
                  <c:v>2404.4020341449041</c:v>
                </c:pt>
                <c:pt idx="33">
                  <c:v>2588.0438971871276</c:v>
                </c:pt>
                <c:pt idx="34">
                  <c:v>2784.9376379275027</c:v>
                </c:pt>
                <c:pt idx="35">
                  <c:v>2995.9157847584679</c:v>
                </c:pt>
                <c:pt idx="36">
                  <c:v>3221.8432772132969</c:v>
                </c:pt>
                <c:pt idx="37">
                  <c:v>3463.6153130321859</c:v>
                </c:pt>
                <c:pt idx="38">
                  <c:v>3722.154455590859</c:v>
                </c:pt>
                <c:pt idx="39">
                  <c:v>3998.4068967854619</c:v>
                </c:pt>
                <c:pt idx="40">
                  <c:v>4293.3377641002289</c:v>
                </c:pt>
                <c:pt idx="41">
                  <c:v>4607.9253556314943</c:v>
                </c:pt>
                <c:pt idx="42">
                  <c:v>4943.1541838931662</c:v>
                </c:pt>
                <c:pt idx="43">
                  <c:v>5300.0067089798968</c:v>
                </c:pt>
                <c:pt idx="44">
                  <c:v>5679.4536449154402</c:v>
                </c:pt>
                <c:pt idx="45">
                  <c:v>6082.4427306655762</c:v>
                </c:pt>
                <c:pt idx="46">
                  <c:v>6509.8858703329724</c:v>
                </c:pt>
                <c:pt idx="47">
                  <c:v>6962.6445665201609</c:v>
                </c:pt>
                <c:pt idx="48">
                  <c:v>7441.5135978100379</c:v>
                </c:pt>
                <c:pt idx="49">
                  <c:v>7947.2029267968128</c:v>
                </c:pt>
                <c:pt idx="50">
                  <c:v>8480.3178700162825</c:v>
                </c:pt>
                <c:pt idx="51">
                  <c:v>9041.337616175113</c:v>
                </c:pt>
                <c:pt idx="52">
                  <c:v>9630.5922446407676</c:v>
                </c:pt>
                <c:pt idx="53">
                  <c:v>10248.238472142437</c:v>
                </c:pt>
                <c:pt idx="54">
                  <c:v>10894.234441356466</c:v>
                </c:pt>
                <c:pt idx="55">
                  <c:v>11568.313959054474</c:v>
                </c:pt>
                <c:pt idx="56">
                  <c:v>12269.960691421855</c:v>
                </c:pt>
                <c:pt idx="57">
                  <c:v>12998.382926628567</c:v>
                </c:pt>
                <c:pt idx="58">
                  <c:v>13752.489615277302</c:v>
                </c:pt>
                <c:pt idx="59">
                  <c:v>14530.868492392485</c:v>
                </c:pt>
                <c:pt idx="60">
                  <c:v>15331.767163568698</c:v>
                </c:pt>
                <c:pt idx="61">
                  <c:v>16153.078095398996</c:v>
                </c:pt>
                <c:pt idx="62">
                  <c:v>16992.328478540283</c:v>
                </c:pt>
                <c:pt idx="63">
                  <c:v>17846.675922985138</c:v>
                </c:pt>
                <c:pt idx="64">
                  <c:v>18712.910892220851</c:v>
                </c:pt>
                <c:pt idx="65">
                  <c:v>19587.466680311991</c:v>
                </c:pt>
                <c:pt idx="66">
                  <c:v>20466.437580103109</c:v>
                </c:pt>
                <c:pt idx="67">
                  <c:v>21345.605681257432</c:v>
                </c:pt>
                <c:pt idx="68">
                  <c:v>22220.476476938624</c:v>
                </c:pt>
                <c:pt idx="69">
                  <c:v>23086.323154930069</c:v>
                </c:pt>
                <c:pt idx="70">
                  <c:v>23938.239114438056</c:v>
                </c:pt>
                <c:pt idx="71">
                  <c:v>24771.197899288596</c:v>
                </c:pt>
                <c:pt idx="72">
                  <c:v>25580.119390510125</c:v>
                </c:pt>
                <c:pt idx="73">
                  <c:v>26359.940777304004</c:v>
                </c:pt>
                <c:pt idx="74">
                  <c:v>27105.690546604186</c:v>
                </c:pt>
                <c:pt idx="75">
                  <c:v>27812.563518038089</c:v>
                </c:pt>
                <c:pt idx="76">
                  <c:v>28475.994820231128</c:v>
                </c:pt>
                <c:pt idx="77">
                  <c:v>29091.730668316544</c:v>
                </c:pt>
                <c:pt idx="78">
                  <c:v>29655.893867280149</c:v>
                </c:pt>
                <c:pt idx="79">
                  <c:v>30165.042130419664</c:v>
                </c:pt>
                <c:pt idx="80">
                  <c:v>30616.217558592187</c:v>
                </c:pt>
                <c:pt idx="81">
                  <c:v>31006.985959325379</c:v>
                </c:pt>
                <c:pt idx="82">
                  <c:v>31335.465075183714</c:v>
                </c:pt>
                <c:pt idx="83">
                  <c:v>31600.341214315878</c:v>
                </c:pt>
                <c:pt idx="84">
                  <c:v>31800.874207641911</c:v>
                </c:pt>
                <c:pt idx="85">
                  <c:v>31936.891032058003</c:v>
                </c:pt>
                <c:pt idx="86">
                  <c:v>32008.768815306437</c:v>
                </c:pt>
                <c:pt idx="87">
                  <c:v>32017.408257896775</c:v>
                </c:pt>
                <c:pt idx="88">
                  <c:v>31964.198758006118</c:v>
                </c:pt>
                <c:pt idx="89">
                  <c:v>31850.976699655934</c:v>
                </c:pt>
                <c:pt idx="90">
                  <c:v>31679.978461283561</c:v>
                </c:pt>
                <c:pt idx="91">
                  <c:v>31453.789724739014</c:v>
                </c:pt>
                <c:pt idx="92">
                  <c:v>31175.292621464221</c:v>
                </c:pt>
                <c:pt idx="93">
                  <c:v>30847.612153806695</c:v>
                </c:pt>
                <c:pt idx="94">
                  <c:v>30474.063187460841</c:v>
                </c:pt>
                <c:pt idx="95">
                  <c:v>30058.099138875485</c:v>
                </c:pt>
                <c:pt idx="96">
                  <c:v>29603.263291669442</c:v>
                </c:pt>
                <c:pt idx="97">
                  <c:v>29113.143480046168</c:v>
                </c:pt>
                <c:pt idx="98">
                  <c:v>28591.330684593981</c:v>
                </c:pt>
                <c:pt idx="99">
                  <c:v>28041.38190442841</c:v>
                </c:pt>
                <c:pt idx="100">
                  <c:v>27466.787505056378</c:v>
                </c:pt>
                <c:pt idx="101">
                  <c:v>26870.943097332005</c:v>
                </c:pt>
                <c:pt idx="102">
                  <c:v>26257.125881386946</c:v>
                </c:pt>
                <c:pt idx="103">
                  <c:v>25628.475290926501</c:v>
                </c:pt>
                <c:pt idx="104">
                  <c:v>24987.977697086622</c:v>
                </c:pt>
                <c:pt idx="105">
                  <c:v>24338.454875581217</c:v>
                </c:pt>
                <c:pt idx="106">
                  <c:v>23682.555903991986</c:v>
                </c:pt>
                <c:pt idx="107">
                  <c:v>23022.75213529354</c:v>
                </c:pt>
                <c:pt idx="108">
                  <c:v>22361.334886470184</c:v>
                </c:pt>
                <c:pt idx="109">
                  <c:v>21700.415484807087</c:v>
                </c:pt>
                <c:pt idx="110">
                  <c:v>21041.927326716021</c:v>
                </c:pt>
                <c:pt idx="111">
                  <c:v>20387.629622597135</c:v>
                </c:pt>
                <c:pt idx="112">
                  <c:v>19739.112524323278</c:v>
                </c:pt>
                <c:pt idx="113">
                  <c:v>19097.803357827252</c:v>
                </c:pt>
                <c:pt idx="114">
                  <c:v>18464.973710622573</c:v>
                </c:pt>
                <c:pt idx="115">
                  <c:v>17841.747151809981</c:v>
                </c:pt>
                <c:pt idx="116">
                  <c:v>17229.107389373054</c:v>
                </c:pt>
                <c:pt idx="117">
                  <c:v>16627.906695719452</c:v>
                </c:pt>
                <c:pt idx="118">
                  <c:v>16038.874457034886</c:v>
                </c:pt>
                <c:pt idx="119">
                  <c:v>15462.625724793912</c:v>
                </c:pt>
                <c:pt idx="120">
                  <c:v>14899.669668547604</c:v>
                </c:pt>
                <c:pt idx="121">
                  <c:v>14350.417847814688</c:v>
                </c:pt>
                <c:pt idx="122">
                  <c:v>13815.192237546116</c:v>
                </c:pt>
                <c:pt idx="123">
                  <c:v>13294.232956276212</c:v>
                </c:pt>
                <c:pt idx="124">
                  <c:v>12787.705658818406</c:v>
                </c:pt>
                <c:pt idx="125">
                  <c:v>12295.708566338795</c:v>
                </c:pt>
                <c:pt idx="126">
                  <c:v>11818.279115990119</c:v>
                </c:pt>
                <c:pt idx="127">
                  <c:v>11355.400220163749</c:v>
                </c:pt>
                <c:pt idx="128">
                  <c:v>10907.006131970176</c:v>
                </c:pt>
                <c:pt idx="129">
                  <c:v>10472.987918937884</c:v>
                </c:pt>
                <c:pt idx="130">
                  <c:v>10053.198551268375</c:v>
                </c:pt>
                <c:pt idx="131">
                  <c:v>9647.4576144342591</c:v>
                </c:pt>
                <c:pt idx="132">
                  <c:v>9255.5556585801332</c:v>
                </c:pt>
                <c:pt idx="133">
                  <c:v>8877.258199194237</c:v>
                </c:pt>
                <c:pt idx="134">
                  <c:v>8512.3093849628531</c:v>
                </c:pt>
                <c:pt idx="135">
                  <c:v>8160.4353496889817</c:v>
                </c:pt>
                <c:pt idx="136">
                  <c:v>7821.3472657310358</c:v>
                </c:pt>
                <c:pt idx="137">
                  <c:v>7494.7441166658728</c:v>
                </c:pt>
                <c:pt idx="138">
                  <c:v>7180.315206863801</c:v>
                </c:pt>
                <c:pt idx="139">
                  <c:v>6877.7424254336929</c:v>
                </c:pt>
                <c:pt idx="140">
                  <c:v>6586.7022815988148</c:v>
                </c:pt>
                <c:pt idx="141">
                  <c:v>6306.8677280367765</c:v>
                </c:pt>
                <c:pt idx="142">
                  <c:v>6037.9097880924583</c:v>
                </c:pt>
                <c:pt idx="143">
                  <c:v>5779.4990020780888</c:v>
                </c:pt>
                <c:pt idx="144">
                  <c:v>5531.3067071324776</c:v>
                </c:pt>
                <c:pt idx="145">
                  <c:v>5293.0061643405015</c:v>
                </c:pt>
                <c:pt idx="146">
                  <c:v>5064.2735460295471</c:v>
                </c:pt>
                <c:pt idx="147">
                  <c:v>4844.7887953742065</c:v>
                </c:pt>
                <c:pt idx="148">
                  <c:v>4634.2363696638977</c:v>
                </c:pt>
                <c:pt idx="149">
                  <c:v>4432.3058778280711</c:v>
                </c:pt>
                <c:pt idx="150">
                  <c:v>4238.692622076217</c:v>
                </c:pt>
                <c:pt idx="151">
                  <c:v>4053.0980527994816</c:v>
                </c:pt>
                <c:pt idx="152">
                  <c:v>3875.2301452005349</c:v>
                </c:pt>
                <c:pt idx="153">
                  <c:v>3704.8037054706269</c:v>
                </c:pt>
                <c:pt idx="154">
                  <c:v>3541.5406137188179</c:v>
                </c:pt>
                <c:pt idx="155">
                  <c:v>3385.1700102788309</c:v>
                </c:pt>
                <c:pt idx="156">
                  <c:v>3235.4284314739198</c:v>
                </c:pt>
                <c:pt idx="157">
                  <c:v>3092.0599004092192</c:v>
                </c:pt>
                <c:pt idx="158">
                  <c:v>2954.8159778835352</c:v>
                </c:pt>
                <c:pt idx="159">
                  <c:v>2823.4557780674613</c:v>
                </c:pt>
                <c:pt idx="160">
                  <c:v>2697.7459531809045</c:v>
                </c:pt>
                <c:pt idx="161">
                  <c:v>2577.4606510192571</c:v>
                </c:pt>
                <c:pt idx="162">
                  <c:v>2462.3814488221424</c:v>
                </c:pt>
                <c:pt idx="163">
                  <c:v>2352.2972666504256</c:v>
                </c:pt>
                <c:pt idx="164">
                  <c:v>2247.0042631345177</c:v>
                </c:pt>
                <c:pt idx="165">
                  <c:v>2146.3057161784036</c:v>
                </c:pt>
                <c:pt idx="166">
                  <c:v>2050.0118909478215</c:v>
                </c:pt>
                <c:pt idx="167">
                  <c:v>1957.9398972361337</c:v>
                </c:pt>
                <c:pt idx="168">
                  <c:v>1869.913538086269</c:v>
                </c:pt>
                <c:pt idx="169">
                  <c:v>1785.763151350299</c:v>
                </c:pt>
                <c:pt idx="170">
                  <c:v>1705.3254456884506</c:v>
                </c:pt>
                <c:pt idx="171">
                  <c:v>1628.4433323453927</c:v>
                </c:pt>
                <c:pt idx="172">
                  <c:v>1554.9657538923</c:v>
                </c:pt>
                <c:pt idx="173">
                  <c:v>1484.7475109873662</c:v>
                </c:pt>
                <c:pt idx="174">
                  <c:v>1417.6490880840674</c:v>
                </c:pt>
                <c:pt idx="175">
                  <c:v>1353.5364789045761</c:v>
                </c:pt>
                <c:pt idx="176">
                  <c:v>1292.2810123943755</c:v>
                </c:pt>
                <c:pt idx="177">
                  <c:v>1233.7591797824555</c:v>
                </c:pt>
                <c:pt idx="178">
                  <c:v>1177.852463288694</c:v>
                </c:pt>
                <c:pt idx="179">
                  <c:v>1124.4471669453778</c:v>
                </c:pt>
                <c:pt idx="180">
                  <c:v>1073.4342499326144</c:v>
                </c:pt>
                <c:pt idx="181">
                  <c:v>1024.709162766994</c:v>
                </c:pt>
                <c:pt idx="182">
                  <c:v>978.17168662865811</c:v>
                </c:pt>
                <c:pt idx="183">
                  <c:v>933.72577606340985</c:v>
                </c:pt>
                <c:pt idx="184">
                  <c:v>891.27940525311988</c:v>
                </c:pt>
                <c:pt idx="185">
                  <c:v>850.74441800899569</c:v>
                </c:pt>
                <c:pt idx="186">
                  <c:v>812.03638160785897</c:v>
                </c:pt>
                <c:pt idx="187">
                  <c:v>775.07444456101484</c:v>
                </c:pt>
                <c:pt idx="188">
                  <c:v>739.78119837825102</c:v>
                </c:pt>
                <c:pt idx="189">
                  <c:v>706.08254336562788</c:v>
                </c:pt>
                <c:pt idx="190">
                  <c:v>673.90755847472315</c:v>
                </c:pt>
                <c:pt idx="191">
                  <c:v>643.18837520258842</c:v>
                </c:pt>
                <c:pt idx="192">
                  <c:v>613.8600555256171</c:v>
                </c:pt>
                <c:pt idx="193">
                  <c:v>585.86047383657217</c:v>
                </c:pt>
                <c:pt idx="194">
                  <c:v>559.1302028419741</c:v>
                </c:pt>
                <c:pt idx="195">
                  <c:v>533.61240336671028</c:v>
                </c:pt>
                <c:pt idx="196">
                  <c:v>509.25271800392119</c:v>
                </c:pt>
                <c:pt idx="197">
                  <c:v>485.99916854078373</c:v>
                </c:pt>
                <c:pt idx="198">
                  <c:v>463.80205708461102</c:v>
                </c:pt>
                <c:pt idx="199">
                  <c:v>442.6138708085806</c:v>
                </c:pt>
                <c:pt idx="200">
                  <c:v>422.38919023227533</c:v>
                </c:pt>
                <c:pt idx="201">
                  <c:v>403.08460094896401</c:v>
                </c:pt>
                <c:pt idx="202">
                  <c:v>384.6586087090613</c:v>
                </c:pt>
                <c:pt idx="203">
                  <c:v>367.0715577674053</c:v>
                </c:pt>
                <c:pt idx="204">
                  <c:v>350.28555240078958</c:v>
                </c:pt>
                <c:pt idx="205">
                  <c:v>334.26438150151802</c:v>
                </c:pt>
                <c:pt idx="206">
                  <c:v>318.9734461525465</c:v>
                </c:pt>
                <c:pt idx="207">
                  <c:v>304.37969008997715</c:v>
                </c:pt>
                <c:pt idx="208">
                  <c:v>290.4515329592262</c:v>
                </c:pt>
                <c:pt idx="209">
                  <c:v>277.15880627204808</c:v>
                </c:pt>
                <c:pt idx="210">
                  <c:v>264.47269197272169</c:v>
                </c:pt>
                <c:pt idx="211">
                  <c:v>252.36566352305266</c:v>
                </c:pt>
                <c:pt idx="212">
                  <c:v>240.81142941738506</c:v>
                </c:pt>
                <c:pt idx="213">
                  <c:v>229.78487904051232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75-4BBE-9725-F3AC47AC8A50}"/>
            </c:ext>
          </c:extLst>
        </c:ser>
        <c:ser>
          <c:idx val="3"/>
          <c:order val="3"/>
          <c:tx>
            <c:v>Recoveries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Epidemic!$I$6:$I$219</c:f>
              <c:numCache>
                <c:formatCode>0</c:formatCode>
                <c:ptCount val="214"/>
                <c:pt idx="0" formatCode="General">
                  <c:v>0</c:v>
                </c:pt>
                <c:pt idx="1">
                  <c:v>15.142857142857142</c:v>
                </c:pt>
                <c:pt idx="2">
                  <c:v>31.495751666323091</c:v>
                </c:pt>
                <c:pt idx="3">
                  <c:v>49.154933763646412</c:v>
                </c:pt>
                <c:pt idx="4">
                  <c:v>68.224236228274876</c:v>
                </c:pt>
                <c:pt idx="5">
                  <c:v>88.815659596738101</c:v>
                </c:pt>
                <c:pt idx="6">
                  <c:v>111.05000040943774</c:v>
                </c:pt>
                <c:pt idx="7">
                  <c:v>135.05752542348759</c:v>
                </c:pt>
                <c:pt idx="8">
                  <c:v>160.97869473846376</c:v>
                </c:pt>
                <c:pt idx="9">
                  <c:v>188.96493691696321</c:v>
                </c:pt>
                <c:pt idx="10">
                  <c:v>219.17947929436838</c:v>
                </c:pt>
                <c:pt idx="11">
                  <c:v>251.79823677275073</c:v>
                </c:pt>
                <c:pt idx="12">
                  <c:v>287.01076247833157</c:v>
                </c:pt>
                <c:pt idx="13">
                  <c:v>325.02126372551879</c:v>
                </c:pt>
                <c:pt idx="14">
                  <c:v>366.04968676754902</c:v>
                </c:pt>
                <c:pt idx="15">
                  <c:v>410.33287381750552</c:v>
                </c:pt>
                <c:pt idx="16">
                  <c:v>458.12579578615015</c:v>
                </c:pt>
                <c:pt idx="17">
                  <c:v>509.70286409555132</c:v>
                </c:pt>
                <c:pt idx="18">
                  <c:v>565.35932477943879</c:v>
                </c:pt>
                <c:pt idx="19">
                  <c:v>625.41273786053682</c:v>
                </c:pt>
                <c:pt idx="20">
                  <c:v>690.20454468803882</c:v>
                </c:pt>
                <c:pt idx="21">
                  <c:v>760.10172550920254</c:v>
                </c:pt>
                <c:pt idx="22">
                  <c:v>835.49854901999447</c:v>
                </c:pt>
                <c:pt idx="23">
                  <c:v>916.81841497079211</c:v>
                </c:pt>
                <c:pt idx="24">
                  <c:v>1004.5157900719678</c:v>
                </c:pt>
                <c:pt idx="25">
                  <c:v>1099.0782364258559</c:v>
                </c:pt>
                <c:pt idx="26">
                  <c:v>1201.0285304787094</c:v>
                </c:pt>
                <c:pt idx="27">
                  <c:v>1310.9268690087915</c:v>
                </c:pt>
                <c:pt idx="28">
                  <c:v>1429.3731569122867</c:v>
                </c:pt>
                <c:pt idx="29">
                  <c:v>1557.0093694825355</c:v>
                </c:pt>
                <c:pt idx="30">
                  <c:v>1694.5219794636419</c:v>
                </c:pt>
                <c:pt idx="31">
                  <c:v>1842.6444363588541</c:v>
                </c:pt>
                <c:pt idx="32">
                  <c:v>2002.1596822488946</c:v>
                </c:pt>
                <c:pt idx="33">
                  <c:v>2173.9026846878164</c:v>
                </c:pt>
                <c:pt idx="34">
                  <c:v>2358.7629630583256</c:v>
                </c:pt>
                <c:pt idx="35">
                  <c:v>2557.6870800531474</c:v>
                </c:pt>
                <c:pt idx="36">
                  <c:v>2771.6810646787521</c:v>
                </c:pt>
                <c:pt idx="37">
                  <c:v>3001.8127273368445</c:v>
                </c:pt>
                <c:pt idx="38">
                  <c:v>3249.213821124858</c:v>
                </c:pt>
                <c:pt idx="39">
                  <c:v>3515.0819965242049</c:v>
                </c:pt>
                <c:pt idx="40">
                  <c:v>3800.6824891517381</c:v>
                </c:pt>
                <c:pt idx="41">
                  <c:v>4107.3494723017548</c:v>
                </c:pt>
                <c:pt idx="42">
                  <c:v>4436.4869977040044</c:v>
                </c:pt>
                <c:pt idx="43">
                  <c:v>4789.5694394106595</c:v>
                </c:pt>
                <c:pt idx="44">
                  <c:v>5168.1413471949381</c:v>
                </c:pt>
                <c:pt idx="45">
                  <c:v>5573.8166075460413</c:v>
                </c:pt>
                <c:pt idx="46">
                  <c:v>6008.276802593582</c:v>
                </c:pt>
                <c:pt idx="47">
                  <c:v>6473.2686504745088</c:v>
                </c:pt>
                <c:pt idx="48">
                  <c:v>6970.6004052259486</c:v>
                </c:pt>
                <c:pt idx="49">
                  <c:v>7502.1370907838082</c:v>
                </c:pt>
                <c:pt idx="50">
                  <c:v>8069.7944426978665</c:v>
                </c:pt>
                <c:pt idx="51">
                  <c:v>8675.5314334133145</c:v>
                </c:pt>
                <c:pt idx="52">
                  <c:v>9321.3412631401079</c:v>
                </c:pt>
                <c:pt idx="53">
                  <c:v>10009.240709185877</c:v>
                </c:pt>
                <c:pt idx="54">
                  <c:v>10741.257742910337</c:v>
                </c:pt>
                <c:pt idx="55">
                  <c:v>11519.417345864371</c:v>
                </c:pt>
                <c:pt idx="56">
                  <c:v>12345.725485796833</c:v>
                </c:pt>
                <c:pt idx="57">
                  <c:v>13222.151249469822</c:v>
                </c:pt>
                <c:pt idx="58">
                  <c:v>14150.607172800434</c:v>
                </c:pt>
                <c:pt idx="59">
                  <c:v>15132.927859605956</c:v>
                </c:pt>
                <c:pt idx="60">
                  <c:v>16170.84703763399</c:v>
                </c:pt>
                <c:pt idx="61">
                  <c:v>17265.973263603184</c:v>
                </c:pt>
                <c:pt idx="62">
                  <c:v>18419.764556131682</c:v>
                </c:pt>
                <c:pt idx="63">
                  <c:v>19633.502304598846</c:v>
                </c:pt>
                <c:pt idx="64">
                  <c:v>20908.264870526356</c:v>
                </c:pt>
                <c:pt idx="65">
                  <c:v>22244.901362827844</c:v>
                </c:pt>
                <c:pt idx="66">
                  <c:v>23644.006125707274</c:v>
                </c:pt>
                <c:pt idx="67">
                  <c:v>25105.894524286068</c:v>
                </c:pt>
                <c:pt idx="68">
                  <c:v>26630.580644375885</c:v>
                </c:pt>
                <c:pt idx="69">
                  <c:v>28217.757535585788</c:v>
                </c:pt>
                <c:pt idx="70">
                  <c:v>29866.780618080793</c:v>
                </c:pt>
                <c:pt idx="71">
                  <c:v>31576.654840540654</c:v>
                </c:pt>
                <c:pt idx="72">
                  <c:v>33346.026119061265</c:v>
                </c:pt>
                <c:pt idx="73">
                  <c:v>35173.177504097701</c:v>
                </c:pt>
                <c:pt idx="74">
                  <c:v>37056.030416762274</c:v>
                </c:pt>
                <c:pt idx="75">
                  <c:v>38992.151170091143</c:v>
                </c:pt>
                <c:pt idx="76">
                  <c:v>40978.76284995101</c:v>
                </c:pt>
                <c:pt idx="77">
                  <c:v>43012.762479967518</c:v>
                </c:pt>
                <c:pt idx="78">
                  <c:v>45090.743241990131</c:v>
                </c:pt>
                <c:pt idx="79">
                  <c:v>47209.021375367287</c:v>
                </c:pt>
                <c:pt idx="80">
                  <c:v>49363.667241825831</c:v>
                </c:pt>
                <c:pt idx="81">
                  <c:v>51550.539924582416</c:v>
                </c:pt>
                <c:pt idx="82">
                  <c:v>53765.324635962803</c:v>
                </c:pt>
                <c:pt idx="83">
                  <c:v>56003.572141333068</c:v>
                </c:pt>
                <c:pt idx="84">
                  <c:v>58260.739370927062</c:v>
                </c:pt>
                <c:pt idx="85">
                  <c:v>60532.230385758623</c:v>
                </c:pt>
                <c:pt idx="86">
                  <c:v>62813.436888048484</c:v>
                </c:pt>
                <c:pt idx="87">
                  <c:v>65099.777517713228</c:v>
                </c:pt>
                <c:pt idx="88">
                  <c:v>67386.735250420141</c:v>
                </c:pt>
                <c:pt idx="89">
                  <c:v>69669.892304563429</c:v>
                </c:pt>
                <c:pt idx="90">
                  <c:v>71944.962068824563</c:v>
                </c:pt>
                <c:pt idx="91">
                  <c:v>74207.817673201964</c:v>
                </c:pt>
                <c:pt idx="92">
                  <c:v>76454.516939254754</c:v>
                </c:pt>
                <c:pt idx="93">
                  <c:v>78681.323555073628</c:v>
                </c:pt>
                <c:pt idx="94">
                  <c:v>80884.724423202671</c:v>
                </c:pt>
                <c:pt idx="95">
                  <c:v>83061.443222307018</c:v>
                </c:pt>
                <c:pt idx="96">
                  <c:v>85208.450303655263</c:v>
                </c:pt>
                <c:pt idx="97">
                  <c:v>87322.969110203077</c:v>
                </c:pt>
                <c:pt idx="98">
                  <c:v>89402.479358777797</c:v>
                </c:pt>
                <c:pt idx="99">
                  <c:v>91444.717264820225</c:v>
                </c:pt>
                <c:pt idx="100">
                  <c:v>93447.673115136538</c:v>
                </c:pt>
                <c:pt idx="101">
                  <c:v>95409.586508354856</c:v>
                </c:pt>
                <c:pt idx="102">
                  <c:v>97328.939586735709</c:v>
                </c:pt>
                <c:pt idx="103">
                  <c:v>99204.448578263342</c:v>
                </c:pt>
                <c:pt idx="104">
                  <c:v>101035.05395618666</c:v>
                </c:pt>
                <c:pt idx="105">
                  <c:v>102819.90950597856</c:v>
                </c:pt>
                <c:pt idx="106">
                  <c:v>104558.37056852008</c:v>
                </c:pt>
                <c:pt idx="107">
                  <c:v>106249.98170451951</c:v>
                </c:pt>
                <c:pt idx="108">
                  <c:v>107894.46399989762</c:v>
                </c:pt>
                <c:pt idx="109">
                  <c:v>109491.70220607406</c:v>
                </c:pt>
                <c:pt idx="110">
                  <c:v>111041.73188356028</c:v>
                </c:pt>
                <c:pt idx="111">
                  <c:v>112544.72669261142</c:v>
                </c:pt>
                <c:pt idx="112">
                  <c:v>114000.98595136836</c:v>
                </c:pt>
                <c:pt idx="113">
                  <c:v>115410.9225602486</c:v>
                </c:pt>
                <c:pt idx="114">
                  <c:v>116775.05137152197</c:v>
                </c:pt>
                <c:pt idx="115">
                  <c:v>118093.97806513787</c:v>
                </c:pt>
                <c:pt idx="116">
                  <c:v>119368.38857598144</c:v>
                </c:pt>
                <c:pt idx="117">
                  <c:v>120599.03910379381</c:v>
                </c:pt>
                <c:pt idx="118">
                  <c:v>121786.74672491662</c:v>
                </c:pt>
                <c:pt idx="119">
                  <c:v>122932.38061470483</c:v>
                </c:pt>
                <c:pt idx="120">
                  <c:v>124036.85388076154</c:v>
                </c:pt>
                <c:pt idx="121">
                  <c:v>125101.11599994352</c:v>
                </c:pt>
                <c:pt idx="122">
                  <c:v>126126.14584621599</c:v>
                </c:pt>
                <c:pt idx="123">
                  <c:v>127112.94529175501</c:v>
                </c:pt>
                <c:pt idx="124">
                  <c:v>128062.53336006045</c:v>
                </c:pt>
                <c:pt idx="125">
                  <c:v>128975.9409071189</c:v>
                </c:pt>
                <c:pt idx="126">
                  <c:v>129854.20580471453</c:v>
                </c:pt>
                <c:pt idx="127">
                  <c:v>130698.36859871382</c:v>
                </c:pt>
                <c:pt idx="128">
                  <c:v>131509.4686144398</c:v>
                </c:pt>
                <c:pt idx="129">
                  <c:v>132288.54048100908</c:v>
                </c:pt>
                <c:pt idx="130">
                  <c:v>133036.61104664751</c:v>
                </c:pt>
                <c:pt idx="131">
                  <c:v>133754.69665745238</c:v>
                </c:pt>
                <c:pt idx="132">
                  <c:v>134443.80077276911</c:v>
                </c:pt>
                <c:pt idx="133">
                  <c:v>135104.91189123911</c:v>
                </c:pt>
                <c:pt idx="134">
                  <c:v>135739.00176261013</c:v>
                </c:pt>
                <c:pt idx="135">
                  <c:v>136347.02386153606</c:v>
                </c:pt>
                <c:pt idx="136">
                  <c:v>136929.91210079956</c:v>
                </c:pt>
                <c:pt idx="137">
                  <c:v>137488.5797626375</c:v>
                </c:pt>
                <c:pt idx="138">
                  <c:v>138023.91862811364</c:v>
                </c:pt>
                <c:pt idx="139">
                  <c:v>138536.79828574677</c:v>
                </c:pt>
                <c:pt idx="140">
                  <c:v>139028.06560184917</c:v>
                </c:pt>
                <c:pt idx="141">
                  <c:v>139498.54433624909</c:v>
                </c:pt>
                <c:pt idx="142">
                  <c:v>139949.03488825171</c:v>
                </c:pt>
                <c:pt idx="143">
                  <c:v>140380.31415882974</c:v>
                </c:pt>
                <c:pt idx="144">
                  <c:v>140793.13551612102</c:v>
                </c:pt>
                <c:pt idx="145">
                  <c:v>141188.22885234476</c:v>
                </c:pt>
                <c:pt idx="146">
                  <c:v>141566.30072122623</c:v>
                </c:pt>
                <c:pt idx="147">
                  <c:v>141928.03454594262</c:v>
                </c:pt>
                <c:pt idx="148">
                  <c:v>142274.09088846933</c:v>
                </c:pt>
                <c:pt idx="149">
                  <c:v>142605.10777201675</c:v>
                </c:pt>
                <c:pt idx="150">
                  <c:v>142921.70104900448</c:v>
                </c:pt>
                <c:pt idx="151">
                  <c:v>143224.4648077242</c:v>
                </c:pt>
                <c:pt idx="152">
                  <c:v>143513.9718114956</c:v>
                </c:pt>
                <c:pt idx="153">
                  <c:v>143790.77396472421</c:v>
                </c:pt>
                <c:pt idx="154">
                  <c:v>144055.40280082927</c:v>
                </c:pt>
                <c:pt idx="155">
                  <c:v>144308.36998752347</c:v>
                </c:pt>
                <c:pt idx="156">
                  <c:v>144550.16784540055</c:v>
                </c:pt>
                <c:pt idx="157">
                  <c:v>144781.26987622012</c:v>
                </c:pt>
                <c:pt idx="158">
                  <c:v>145002.13129767793</c:v>
                </c:pt>
                <c:pt idx="159">
                  <c:v>145213.18958181248</c:v>
                </c:pt>
                <c:pt idx="160">
                  <c:v>145414.86499453158</c:v>
                </c:pt>
                <c:pt idx="161">
                  <c:v>145607.56113404452</c:v>
                </c:pt>
                <c:pt idx="162">
                  <c:v>145791.66546626016</c:v>
                </c:pt>
                <c:pt idx="163">
                  <c:v>145967.54985546175</c:v>
                </c:pt>
                <c:pt idx="164">
                  <c:v>146135.57108879392</c:v>
                </c:pt>
                <c:pt idx="165">
                  <c:v>146296.07139330351</c:v>
                </c:pt>
                <c:pt idx="166">
                  <c:v>146449.37894445911</c:v>
                </c:pt>
                <c:pt idx="167">
                  <c:v>146595.8083652411</c:v>
                </c:pt>
                <c:pt idx="168">
                  <c:v>146735.66121504368</c:v>
                </c:pt>
                <c:pt idx="169">
                  <c:v>146869.22646776412</c:v>
                </c:pt>
                <c:pt idx="170">
                  <c:v>146996.78097857485</c:v>
                </c:pt>
                <c:pt idx="171">
                  <c:v>147118.58993898117</c:v>
                </c:pt>
                <c:pt idx="172">
                  <c:v>147234.90731986298</c:v>
                </c:pt>
                <c:pt idx="173">
                  <c:v>147345.97630228385</c:v>
                </c:pt>
                <c:pt idx="174">
                  <c:v>147452.0296959258</c:v>
                </c:pt>
                <c:pt idx="175">
                  <c:v>147553.29034507467</c:v>
                </c:pt>
                <c:pt idx="176">
                  <c:v>147649.97152213927</c:v>
                </c:pt>
                <c:pt idx="177">
                  <c:v>147742.27730873888</c:v>
                </c:pt>
                <c:pt idx="178">
                  <c:v>147830.40296443761</c:v>
                </c:pt>
                <c:pt idx="179">
                  <c:v>147914.53528324395</c:v>
                </c:pt>
                <c:pt idx="180">
                  <c:v>147994.85293802575</c:v>
                </c:pt>
                <c:pt idx="181">
                  <c:v>148071.52681302093</c:v>
                </c:pt>
                <c:pt idx="182">
                  <c:v>148144.72032464715</c:v>
                </c:pt>
                <c:pt idx="183">
                  <c:v>148214.58973083491</c:v>
                </c:pt>
                <c:pt idx="184">
                  <c:v>148281.28442912514</c:v>
                </c:pt>
                <c:pt idx="185">
                  <c:v>148344.94724378607</c:v>
                </c:pt>
                <c:pt idx="186">
                  <c:v>148405.71470221528</c:v>
                </c:pt>
                <c:pt idx="187">
                  <c:v>148463.71730090157</c:v>
                </c:pt>
                <c:pt idx="188">
                  <c:v>148519.07976122736</c:v>
                </c:pt>
                <c:pt idx="189">
                  <c:v>148571.92127539724</c:v>
                </c:pt>
                <c:pt idx="190">
                  <c:v>148622.35574278049</c:v>
                </c:pt>
                <c:pt idx="191">
                  <c:v>148670.49199695725</c:v>
                </c:pt>
                <c:pt idx="192">
                  <c:v>148716.43402375744</c:v>
                </c:pt>
                <c:pt idx="193">
                  <c:v>148760.28117058068</c:v>
                </c:pt>
                <c:pt idx="194">
                  <c:v>148802.12834728329</c:v>
                </c:pt>
                <c:pt idx="195">
                  <c:v>148842.06621891487</c:v>
                </c:pt>
                <c:pt idx="196">
                  <c:v>148880.18139058392</c:v>
                </c:pt>
                <c:pt idx="197">
                  <c:v>148916.55658472705</c:v>
                </c:pt>
                <c:pt idx="198">
                  <c:v>148951.27081105139</c:v>
                </c:pt>
                <c:pt idx="199">
                  <c:v>148984.39952941457</c:v>
                </c:pt>
                <c:pt idx="200">
                  <c:v>149016.01480590089</c:v>
                </c:pt>
                <c:pt idx="201">
                  <c:v>149046.18546234607</c:v>
                </c:pt>
                <c:pt idx="202">
                  <c:v>149074.97721955672</c:v>
                </c:pt>
                <c:pt idx="203">
                  <c:v>149102.45283446452</c:v>
                </c:pt>
                <c:pt idx="204">
                  <c:v>149128.67223144791</c:v>
                </c:pt>
                <c:pt idx="205">
                  <c:v>149153.69262804798</c:v>
                </c:pt>
                <c:pt idx="206">
                  <c:v>149177.56865529809</c:v>
                </c:pt>
                <c:pt idx="207">
                  <c:v>149200.35247288042</c:v>
                </c:pt>
                <c:pt idx="208">
                  <c:v>149222.09387931542</c:v>
                </c:pt>
                <c:pt idx="209">
                  <c:v>149242.84041738394</c:v>
                </c:pt>
                <c:pt idx="210">
                  <c:v>149262.63747497479</c:v>
                </c:pt>
                <c:pt idx="211">
                  <c:v>149281.52838154428</c:v>
                </c:pt>
                <c:pt idx="212">
                  <c:v>149299.55450036735</c:v>
                </c:pt>
                <c:pt idx="213">
                  <c:v>149316.75531675431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75-4BBE-9725-F3AC47AC8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593200"/>
        <c:axId val="313596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Recoveries per day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Epidemic!$B$6:$B$219</c15:sqref>
                        </c15:formulaRef>
                      </c:ext>
                    </c:extLst>
                    <c:numCache>
                      <c:formatCode>m/d/yyyy</c:formatCode>
                      <c:ptCount val="214"/>
                      <c:pt idx="0">
                        <c:v>43983</c:v>
                      </c:pt>
                      <c:pt idx="1">
                        <c:v>43984</c:v>
                      </c:pt>
                      <c:pt idx="2">
                        <c:v>43985</c:v>
                      </c:pt>
                      <c:pt idx="3">
                        <c:v>43986</c:v>
                      </c:pt>
                      <c:pt idx="4">
                        <c:v>43987</c:v>
                      </c:pt>
                      <c:pt idx="5">
                        <c:v>43988</c:v>
                      </c:pt>
                      <c:pt idx="6">
                        <c:v>43989</c:v>
                      </c:pt>
                      <c:pt idx="7">
                        <c:v>43990</c:v>
                      </c:pt>
                      <c:pt idx="8">
                        <c:v>43991</c:v>
                      </c:pt>
                      <c:pt idx="9">
                        <c:v>43992</c:v>
                      </c:pt>
                      <c:pt idx="10">
                        <c:v>43993</c:v>
                      </c:pt>
                      <c:pt idx="11">
                        <c:v>43994</c:v>
                      </c:pt>
                      <c:pt idx="12">
                        <c:v>43995</c:v>
                      </c:pt>
                      <c:pt idx="13">
                        <c:v>43996</c:v>
                      </c:pt>
                      <c:pt idx="14">
                        <c:v>43997</c:v>
                      </c:pt>
                      <c:pt idx="15">
                        <c:v>43998</c:v>
                      </c:pt>
                      <c:pt idx="16">
                        <c:v>43999</c:v>
                      </c:pt>
                      <c:pt idx="17">
                        <c:v>44000</c:v>
                      </c:pt>
                      <c:pt idx="18">
                        <c:v>44001</c:v>
                      </c:pt>
                      <c:pt idx="19">
                        <c:v>44002</c:v>
                      </c:pt>
                      <c:pt idx="20">
                        <c:v>44003</c:v>
                      </c:pt>
                      <c:pt idx="21">
                        <c:v>44004</c:v>
                      </c:pt>
                      <c:pt idx="22">
                        <c:v>44005</c:v>
                      </c:pt>
                      <c:pt idx="23">
                        <c:v>44006</c:v>
                      </c:pt>
                      <c:pt idx="24">
                        <c:v>44007</c:v>
                      </c:pt>
                      <c:pt idx="25">
                        <c:v>44008</c:v>
                      </c:pt>
                      <c:pt idx="26">
                        <c:v>44009</c:v>
                      </c:pt>
                      <c:pt idx="27">
                        <c:v>44010</c:v>
                      </c:pt>
                      <c:pt idx="28">
                        <c:v>44011</c:v>
                      </c:pt>
                      <c:pt idx="29">
                        <c:v>44012</c:v>
                      </c:pt>
                      <c:pt idx="30">
                        <c:v>44013</c:v>
                      </c:pt>
                      <c:pt idx="31">
                        <c:v>44014</c:v>
                      </c:pt>
                      <c:pt idx="32">
                        <c:v>44015</c:v>
                      </c:pt>
                      <c:pt idx="33">
                        <c:v>44016</c:v>
                      </c:pt>
                      <c:pt idx="34">
                        <c:v>44017</c:v>
                      </c:pt>
                      <c:pt idx="35">
                        <c:v>44018</c:v>
                      </c:pt>
                      <c:pt idx="36">
                        <c:v>44019</c:v>
                      </c:pt>
                      <c:pt idx="37">
                        <c:v>44020</c:v>
                      </c:pt>
                      <c:pt idx="38">
                        <c:v>44021</c:v>
                      </c:pt>
                      <c:pt idx="39">
                        <c:v>44022</c:v>
                      </c:pt>
                      <c:pt idx="40">
                        <c:v>44023</c:v>
                      </c:pt>
                      <c:pt idx="41">
                        <c:v>44024</c:v>
                      </c:pt>
                      <c:pt idx="42">
                        <c:v>44025</c:v>
                      </c:pt>
                      <c:pt idx="43">
                        <c:v>44026</c:v>
                      </c:pt>
                      <c:pt idx="44">
                        <c:v>44027</c:v>
                      </c:pt>
                      <c:pt idx="45">
                        <c:v>44028</c:v>
                      </c:pt>
                      <c:pt idx="46">
                        <c:v>44029</c:v>
                      </c:pt>
                      <c:pt idx="47">
                        <c:v>44030</c:v>
                      </c:pt>
                      <c:pt idx="48">
                        <c:v>44031</c:v>
                      </c:pt>
                      <c:pt idx="49">
                        <c:v>44032</c:v>
                      </c:pt>
                      <c:pt idx="50">
                        <c:v>44033</c:v>
                      </c:pt>
                      <c:pt idx="51">
                        <c:v>44034</c:v>
                      </c:pt>
                      <c:pt idx="52">
                        <c:v>44035</c:v>
                      </c:pt>
                      <c:pt idx="53">
                        <c:v>44036</c:v>
                      </c:pt>
                      <c:pt idx="54">
                        <c:v>44037</c:v>
                      </c:pt>
                      <c:pt idx="55">
                        <c:v>44038</c:v>
                      </c:pt>
                      <c:pt idx="56">
                        <c:v>44039</c:v>
                      </c:pt>
                      <c:pt idx="57">
                        <c:v>44040</c:v>
                      </c:pt>
                      <c:pt idx="58">
                        <c:v>44041</c:v>
                      </c:pt>
                      <c:pt idx="59">
                        <c:v>44042</c:v>
                      </c:pt>
                      <c:pt idx="60">
                        <c:v>44043</c:v>
                      </c:pt>
                      <c:pt idx="61">
                        <c:v>44044</c:v>
                      </c:pt>
                      <c:pt idx="62">
                        <c:v>44045</c:v>
                      </c:pt>
                      <c:pt idx="63">
                        <c:v>44046</c:v>
                      </c:pt>
                      <c:pt idx="64">
                        <c:v>44047</c:v>
                      </c:pt>
                      <c:pt idx="65">
                        <c:v>44048</c:v>
                      </c:pt>
                      <c:pt idx="66">
                        <c:v>44049</c:v>
                      </c:pt>
                      <c:pt idx="67">
                        <c:v>44050</c:v>
                      </c:pt>
                      <c:pt idx="68">
                        <c:v>44051</c:v>
                      </c:pt>
                      <c:pt idx="69">
                        <c:v>44052</c:v>
                      </c:pt>
                      <c:pt idx="70">
                        <c:v>44053</c:v>
                      </c:pt>
                      <c:pt idx="71">
                        <c:v>44054</c:v>
                      </c:pt>
                      <c:pt idx="72">
                        <c:v>44055</c:v>
                      </c:pt>
                      <c:pt idx="73">
                        <c:v>44056</c:v>
                      </c:pt>
                      <c:pt idx="74">
                        <c:v>44057</c:v>
                      </c:pt>
                      <c:pt idx="75">
                        <c:v>44058</c:v>
                      </c:pt>
                      <c:pt idx="76">
                        <c:v>44059</c:v>
                      </c:pt>
                      <c:pt idx="77">
                        <c:v>44060</c:v>
                      </c:pt>
                      <c:pt idx="78">
                        <c:v>44061</c:v>
                      </c:pt>
                      <c:pt idx="79">
                        <c:v>44062</c:v>
                      </c:pt>
                      <c:pt idx="80">
                        <c:v>44063</c:v>
                      </c:pt>
                      <c:pt idx="81">
                        <c:v>44064</c:v>
                      </c:pt>
                      <c:pt idx="82">
                        <c:v>44065</c:v>
                      </c:pt>
                      <c:pt idx="83">
                        <c:v>44066</c:v>
                      </c:pt>
                      <c:pt idx="84">
                        <c:v>44067</c:v>
                      </c:pt>
                      <c:pt idx="85">
                        <c:v>44068</c:v>
                      </c:pt>
                      <c:pt idx="86">
                        <c:v>44069</c:v>
                      </c:pt>
                      <c:pt idx="87">
                        <c:v>44070</c:v>
                      </c:pt>
                      <c:pt idx="88">
                        <c:v>44071</c:v>
                      </c:pt>
                      <c:pt idx="89">
                        <c:v>44072</c:v>
                      </c:pt>
                      <c:pt idx="90">
                        <c:v>44073</c:v>
                      </c:pt>
                      <c:pt idx="91">
                        <c:v>44074</c:v>
                      </c:pt>
                      <c:pt idx="92">
                        <c:v>44075</c:v>
                      </c:pt>
                      <c:pt idx="93">
                        <c:v>44076</c:v>
                      </c:pt>
                      <c:pt idx="94">
                        <c:v>44077</c:v>
                      </c:pt>
                      <c:pt idx="95">
                        <c:v>44078</c:v>
                      </c:pt>
                      <c:pt idx="96">
                        <c:v>44079</c:v>
                      </c:pt>
                      <c:pt idx="97">
                        <c:v>44080</c:v>
                      </c:pt>
                      <c:pt idx="98">
                        <c:v>44081</c:v>
                      </c:pt>
                      <c:pt idx="99">
                        <c:v>44082</c:v>
                      </c:pt>
                      <c:pt idx="100">
                        <c:v>44083</c:v>
                      </c:pt>
                      <c:pt idx="101">
                        <c:v>44084</c:v>
                      </c:pt>
                      <c:pt idx="102">
                        <c:v>44085</c:v>
                      </c:pt>
                      <c:pt idx="103">
                        <c:v>44086</c:v>
                      </c:pt>
                      <c:pt idx="104">
                        <c:v>44087</c:v>
                      </c:pt>
                      <c:pt idx="105">
                        <c:v>44088</c:v>
                      </c:pt>
                      <c:pt idx="106">
                        <c:v>44089</c:v>
                      </c:pt>
                      <c:pt idx="107">
                        <c:v>44090</c:v>
                      </c:pt>
                      <c:pt idx="108">
                        <c:v>44091</c:v>
                      </c:pt>
                      <c:pt idx="109">
                        <c:v>44092</c:v>
                      </c:pt>
                      <c:pt idx="110">
                        <c:v>44093</c:v>
                      </c:pt>
                      <c:pt idx="111">
                        <c:v>44094</c:v>
                      </c:pt>
                      <c:pt idx="112">
                        <c:v>44095</c:v>
                      </c:pt>
                      <c:pt idx="113">
                        <c:v>44096</c:v>
                      </c:pt>
                      <c:pt idx="114">
                        <c:v>44097</c:v>
                      </c:pt>
                      <c:pt idx="115">
                        <c:v>44098</c:v>
                      </c:pt>
                      <c:pt idx="116">
                        <c:v>44099</c:v>
                      </c:pt>
                      <c:pt idx="117">
                        <c:v>44100</c:v>
                      </c:pt>
                      <c:pt idx="118">
                        <c:v>44101</c:v>
                      </c:pt>
                      <c:pt idx="119">
                        <c:v>44102</c:v>
                      </c:pt>
                      <c:pt idx="120">
                        <c:v>44103</c:v>
                      </c:pt>
                      <c:pt idx="121">
                        <c:v>44104</c:v>
                      </c:pt>
                      <c:pt idx="122">
                        <c:v>44105</c:v>
                      </c:pt>
                      <c:pt idx="123">
                        <c:v>44106</c:v>
                      </c:pt>
                      <c:pt idx="124">
                        <c:v>44107</c:v>
                      </c:pt>
                      <c:pt idx="125">
                        <c:v>44108</c:v>
                      </c:pt>
                      <c:pt idx="126">
                        <c:v>44109</c:v>
                      </c:pt>
                      <c:pt idx="127">
                        <c:v>44110</c:v>
                      </c:pt>
                      <c:pt idx="128">
                        <c:v>44111</c:v>
                      </c:pt>
                      <c:pt idx="129">
                        <c:v>44112</c:v>
                      </c:pt>
                      <c:pt idx="130">
                        <c:v>44113</c:v>
                      </c:pt>
                      <c:pt idx="131">
                        <c:v>44114</c:v>
                      </c:pt>
                      <c:pt idx="132">
                        <c:v>44115</c:v>
                      </c:pt>
                      <c:pt idx="133">
                        <c:v>44116</c:v>
                      </c:pt>
                      <c:pt idx="134">
                        <c:v>44117</c:v>
                      </c:pt>
                      <c:pt idx="135">
                        <c:v>44118</c:v>
                      </c:pt>
                      <c:pt idx="136">
                        <c:v>44119</c:v>
                      </c:pt>
                      <c:pt idx="137">
                        <c:v>44120</c:v>
                      </c:pt>
                      <c:pt idx="138">
                        <c:v>44121</c:v>
                      </c:pt>
                      <c:pt idx="139">
                        <c:v>44122</c:v>
                      </c:pt>
                      <c:pt idx="140">
                        <c:v>44123</c:v>
                      </c:pt>
                      <c:pt idx="141">
                        <c:v>44124</c:v>
                      </c:pt>
                      <c:pt idx="142">
                        <c:v>44125</c:v>
                      </c:pt>
                      <c:pt idx="143">
                        <c:v>44126</c:v>
                      </c:pt>
                      <c:pt idx="144">
                        <c:v>44127</c:v>
                      </c:pt>
                      <c:pt idx="145">
                        <c:v>44128</c:v>
                      </c:pt>
                      <c:pt idx="146">
                        <c:v>44129</c:v>
                      </c:pt>
                      <c:pt idx="147">
                        <c:v>44130</c:v>
                      </c:pt>
                      <c:pt idx="148">
                        <c:v>44131</c:v>
                      </c:pt>
                      <c:pt idx="149">
                        <c:v>44132</c:v>
                      </c:pt>
                      <c:pt idx="150">
                        <c:v>44133</c:v>
                      </c:pt>
                      <c:pt idx="151">
                        <c:v>44134</c:v>
                      </c:pt>
                      <c:pt idx="152">
                        <c:v>44135</c:v>
                      </c:pt>
                      <c:pt idx="153">
                        <c:v>44136</c:v>
                      </c:pt>
                      <c:pt idx="154">
                        <c:v>44137</c:v>
                      </c:pt>
                      <c:pt idx="155">
                        <c:v>44138</c:v>
                      </c:pt>
                      <c:pt idx="156">
                        <c:v>44139</c:v>
                      </c:pt>
                      <c:pt idx="157">
                        <c:v>44140</c:v>
                      </c:pt>
                      <c:pt idx="158">
                        <c:v>44141</c:v>
                      </c:pt>
                      <c:pt idx="159">
                        <c:v>44142</c:v>
                      </c:pt>
                      <c:pt idx="160">
                        <c:v>44143</c:v>
                      </c:pt>
                      <c:pt idx="161">
                        <c:v>44144</c:v>
                      </c:pt>
                      <c:pt idx="162">
                        <c:v>44145</c:v>
                      </c:pt>
                      <c:pt idx="163">
                        <c:v>44146</c:v>
                      </c:pt>
                      <c:pt idx="164">
                        <c:v>44147</c:v>
                      </c:pt>
                      <c:pt idx="165">
                        <c:v>44148</c:v>
                      </c:pt>
                      <c:pt idx="166">
                        <c:v>44149</c:v>
                      </c:pt>
                      <c:pt idx="167">
                        <c:v>44150</c:v>
                      </c:pt>
                      <c:pt idx="168">
                        <c:v>44151</c:v>
                      </c:pt>
                      <c:pt idx="169">
                        <c:v>44152</c:v>
                      </c:pt>
                      <c:pt idx="170">
                        <c:v>44153</c:v>
                      </c:pt>
                      <c:pt idx="171">
                        <c:v>44154</c:v>
                      </c:pt>
                      <c:pt idx="172">
                        <c:v>44155</c:v>
                      </c:pt>
                      <c:pt idx="173">
                        <c:v>44156</c:v>
                      </c:pt>
                      <c:pt idx="174">
                        <c:v>44157</c:v>
                      </c:pt>
                      <c:pt idx="175">
                        <c:v>44158</c:v>
                      </c:pt>
                      <c:pt idx="176">
                        <c:v>44159</c:v>
                      </c:pt>
                      <c:pt idx="177">
                        <c:v>44160</c:v>
                      </c:pt>
                      <c:pt idx="178">
                        <c:v>44161</c:v>
                      </c:pt>
                      <c:pt idx="179">
                        <c:v>44162</c:v>
                      </c:pt>
                      <c:pt idx="180">
                        <c:v>44163</c:v>
                      </c:pt>
                      <c:pt idx="181">
                        <c:v>44164</c:v>
                      </c:pt>
                      <c:pt idx="182">
                        <c:v>44165</c:v>
                      </c:pt>
                      <c:pt idx="183">
                        <c:v>44166</c:v>
                      </c:pt>
                      <c:pt idx="184">
                        <c:v>44167</c:v>
                      </c:pt>
                      <c:pt idx="185">
                        <c:v>44168</c:v>
                      </c:pt>
                      <c:pt idx="186">
                        <c:v>44169</c:v>
                      </c:pt>
                      <c:pt idx="187">
                        <c:v>44170</c:v>
                      </c:pt>
                      <c:pt idx="188">
                        <c:v>44171</c:v>
                      </c:pt>
                      <c:pt idx="189">
                        <c:v>44172</c:v>
                      </c:pt>
                      <c:pt idx="190">
                        <c:v>44173</c:v>
                      </c:pt>
                      <c:pt idx="191">
                        <c:v>44174</c:v>
                      </c:pt>
                      <c:pt idx="192">
                        <c:v>44175</c:v>
                      </c:pt>
                      <c:pt idx="193">
                        <c:v>44176</c:v>
                      </c:pt>
                      <c:pt idx="194">
                        <c:v>44177</c:v>
                      </c:pt>
                      <c:pt idx="195">
                        <c:v>44178</c:v>
                      </c:pt>
                      <c:pt idx="196">
                        <c:v>44179</c:v>
                      </c:pt>
                      <c:pt idx="197">
                        <c:v>44180</c:v>
                      </c:pt>
                      <c:pt idx="198">
                        <c:v>44181</c:v>
                      </c:pt>
                      <c:pt idx="199">
                        <c:v>44182</c:v>
                      </c:pt>
                      <c:pt idx="200">
                        <c:v>44183</c:v>
                      </c:pt>
                      <c:pt idx="201">
                        <c:v>44184</c:v>
                      </c:pt>
                      <c:pt idx="202">
                        <c:v>44185</c:v>
                      </c:pt>
                      <c:pt idx="203">
                        <c:v>44186</c:v>
                      </c:pt>
                      <c:pt idx="204">
                        <c:v>44187</c:v>
                      </c:pt>
                      <c:pt idx="205">
                        <c:v>44188</c:v>
                      </c:pt>
                      <c:pt idx="206">
                        <c:v>44189</c:v>
                      </c:pt>
                      <c:pt idx="207">
                        <c:v>44190</c:v>
                      </c:pt>
                      <c:pt idx="208">
                        <c:v>44191</c:v>
                      </c:pt>
                      <c:pt idx="209">
                        <c:v>44192</c:v>
                      </c:pt>
                      <c:pt idx="210">
                        <c:v>44193</c:v>
                      </c:pt>
                      <c:pt idx="211">
                        <c:v>44194</c:v>
                      </c:pt>
                      <c:pt idx="212">
                        <c:v>44195</c:v>
                      </c:pt>
                      <c:pt idx="213">
                        <c:v>44196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Epidemic!$I$6:$I$219</c15:sqref>
                        </c15:formulaRef>
                      </c:ext>
                    </c:extLst>
                    <c:numCache>
                      <c:formatCode>0</c:formatCode>
                      <c:ptCount val="214"/>
                      <c:pt idx="0" formatCode="General">
                        <c:v>0</c:v>
                      </c:pt>
                      <c:pt idx="1">
                        <c:v>15.142857142857142</c:v>
                      </c:pt>
                      <c:pt idx="2">
                        <c:v>31.495751666323091</c:v>
                      </c:pt>
                      <c:pt idx="3">
                        <c:v>49.154933763646412</c:v>
                      </c:pt>
                      <c:pt idx="4">
                        <c:v>68.224236228274876</c:v>
                      </c:pt>
                      <c:pt idx="5">
                        <c:v>88.815659596738101</c:v>
                      </c:pt>
                      <c:pt idx="6">
                        <c:v>111.05000040943774</c:v>
                      </c:pt>
                      <c:pt idx="7">
                        <c:v>135.05752542348759</c:v>
                      </c:pt>
                      <c:pt idx="8">
                        <c:v>160.97869473846376</c:v>
                      </c:pt>
                      <c:pt idx="9">
                        <c:v>188.96493691696321</c:v>
                      </c:pt>
                      <c:pt idx="10">
                        <c:v>219.17947929436838</c:v>
                      </c:pt>
                      <c:pt idx="11">
                        <c:v>251.79823677275073</c:v>
                      </c:pt>
                      <c:pt idx="12">
                        <c:v>287.01076247833157</c:v>
                      </c:pt>
                      <c:pt idx="13">
                        <c:v>325.02126372551879</c:v>
                      </c:pt>
                      <c:pt idx="14">
                        <c:v>366.04968676754902</c:v>
                      </c:pt>
                      <c:pt idx="15">
                        <c:v>410.33287381750552</c:v>
                      </c:pt>
                      <c:pt idx="16">
                        <c:v>458.12579578615015</c:v>
                      </c:pt>
                      <c:pt idx="17">
                        <c:v>509.70286409555132</c:v>
                      </c:pt>
                      <c:pt idx="18">
                        <c:v>565.35932477943879</c:v>
                      </c:pt>
                      <c:pt idx="19">
                        <c:v>625.41273786053682</c:v>
                      </c:pt>
                      <c:pt idx="20">
                        <c:v>690.20454468803882</c:v>
                      </c:pt>
                      <c:pt idx="21">
                        <c:v>760.10172550920254</c:v>
                      </c:pt>
                      <c:pt idx="22">
                        <c:v>835.49854901999447</c:v>
                      </c:pt>
                      <c:pt idx="23">
                        <c:v>916.81841497079211</c:v>
                      </c:pt>
                      <c:pt idx="24">
                        <c:v>1004.5157900719678</c:v>
                      </c:pt>
                      <c:pt idx="25">
                        <c:v>1099.0782364258559</c:v>
                      </c:pt>
                      <c:pt idx="26">
                        <c:v>1201.0285304787094</c:v>
                      </c:pt>
                      <c:pt idx="27">
                        <c:v>1310.9268690087915</c:v>
                      </c:pt>
                      <c:pt idx="28">
                        <c:v>1429.3731569122867</c:v>
                      </c:pt>
                      <c:pt idx="29">
                        <c:v>1557.0093694825355</c:v>
                      </c:pt>
                      <c:pt idx="30">
                        <c:v>1694.5219794636419</c:v>
                      </c:pt>
                      <c:pt idx="31">
                        <c:v>1842.6444363588541</c:v>
                      </c:pt>
                      <c:pt idx="32">
                        <c:v>2002.1596822488946</c:v>
                      </c:pt>
                      <c:pt idx="33">
                        <c:v>2173.9026846878164</c:v>
                      </c:pt>
                      <c:pt idx="34">
                        <c:v>2358.7629630583256</c:v>
                      </c:pt>
                      <c:pt idx="35">
                        <c:v>2557.6870800531474</c:v>
                      </c:pt>
                      <c:pt idx="36">
                        <c:v>2771.6810646787521</c:v>
                      </c:pt>
                      <c:pt idx="37">
                        <c:v>3001.8127273368445</c:v>
                      </c:pt>
                      <c:pt idx="38">
                        <c:v>3249.213821124858</c:v>
                      </c:pt>
                      <c:pt idx="39">
                        <c:v>3515.0819965242049</c:v>
                      </c:pt>
                      <c:pt idx="40">
                        <c:v>3800.6824891517381</c:v>
                      </c:pt>
                      <c:pt idx="41">
                        <c:v>4107.3494723017548</c:v>
                      </c:pt>
                      <c:pt idx="42">
                        <c:v>4436.4869977040044</c:v>
                      </c:pt>
                      <c:pt idx="43">
                        <c:v>4789.5694394106595</c:v>
                      </c:pt>
                      <c:pt idx="44">
                        <c:v>5168.1413471949381</c:v>
                      </c:pt>
                      <c:pt idx="45">
                        <c:v>5573.8166075460413</c:v>
                      </c:pt>
                      <c:pt idx="46">
                        <c:v>6008.276802593582</c:v>
                      </c:pt>
                      <c:pt idx="47">
                        <c:v>6473.2686504745088</c:v>
                      </c:pt>
                      <c:pt idx="48">
                        <c:v>6970.6004052259486</c:v>
                      </c:pt>
                      <c:pt idx="49">
                        <c:v>7502.1370907838082</c:v>
                      </c:pt>
                      <c:pt idx="50">
                        <c:v>8069.7944426978665</c:v>
                      </c:pt>
                      <c:pt idx="51">
                        <c:v>8675.5314334133145</c:v>
                      </c:pt>
                      <c:pt idx="52">
                        <c:v>9321.3412631401079</c:v>
                      </c:pt>
                      <c:pt idx="53">
                        <c:v>10009.240709185877</c:v>
                      </c:pt>
                      <c:pt idx="54">
                        <c:v>10741.257742910337</c:v>
                      </c:pt>
                      <c:pt idx="55">
                        <c:v>11519.417345864371</c:v>
                      </c:pt>
                      <c:pt idx="56">
                        <c:v>12345.725485796833</c:v>
                      </c:pt>
                      <c:pt idx="57">
                        <c:v>13222.151249469822</c:v>
                      </c:pt>
                      <c:pt idx="58">
                        <c:v>14150.607172800434</c:v>
                      </c:pt>
                      <c:pt idx="59">
                        <c:v>15132.927859605956</c:v>
                      </c:pt>
                      <c:pt idx="60">
                        <c:v>16170.84703763399</c:v>
                      </c:pt>
                      <c:pt idx="61">
                        <c:v>17265.973263603184</c:v>
                      </c:pt>
                      <c:pt idx="62">
                        <c:v>18419.764556131682</c:v>
                      </c:pt>
                      <c:pt idx="63">
                        <c:v>19633.502304598846</c:v>
                      </c:pt>
                      <c:pt idx="64">
                        <c:v>20908.264870526356</c:v>
                      </c:pt>
                      <c:pt idx="65">
                        <c:v>22244.901362827844</c:v>
                      </c:pt>
                      <c:pt idx="66">
                        <c:v>23644.006125707274</c:v>
                      </c:pt>
                      <c:pt idx="67">
                        <c:v>25105.894524286068</c:v>
                      </c:pt>
                      <c:pt idx="68">
                        <c:v>26630.580644375885</c:v>
                      </c:pt>
                      <c:pt idx="69">
                        <c:v>28217.757535585788</c:v>
                      </c:pt>
                      <c:pt idx="70">
                        <c:v>29866.780618080793</c:v>
                      </c:pt>
                      <c:pt idx="71">
                        <c:v>31576.654840540654</c:v>
                      </c:pt>
                      <c:pt idx="72">
                        <c:v>33346.026119061265</c:v>
                      </c:pt>
                      <c:pt idx="73">
                        <c:v>35173.177504097701</c:v>
                      </c:pt>
                      <c:pt idx="74">
                        <c:v>37056.030416762274</c:v>
                      </c:pt>
                      <c:pt idx="75">
                        <c:v>38992.151170091143</c:v>
                      </c:pt>
                      <c:pt idx="76">
                        <c:v>40978.76284995101</c:v>
                      </c:pt>
                      <c:pt idx="77">
                        <c:v>43012.762479967518</c:v>
                      </c:pt>
                      <c:pt idx="78">
                        <c:v>45090.743241990131</c:v>
                      </c:pt>
                      <c:pt idx="79">
                        <c:v>47209.021375367287</c:v>
                      </c:pt>
                      <c:pt idx="80">
                        <c:v>49363.667241825831</c:v>
                      </c:pt>
                      <c:pt idx="81">
                        <c:v>51550.539924582416</c:v>
                      </c:pt>
                      <c:pt idx="82">
                        <c:v>53765.324635962803</c:v>
                      </c:pt>
                      <c:pt idx="83">
                        <c:v>56003.572141333068</c:v>
                      </c:pt>
                      <c:pt idx="84">
                        <c:v>58260.739370927062</c:v>
                      </c:pt>
                      <c:pt idx="85">
                        <c:v>60532.230385758623</c:v>
                      </c:pt>
                      <c:pt idx="86">
                        <c:v>62813.436888048484</c:v>
                      </c:pt>
                      <c:pt idx="87">
                        <c:v>65099.777517713228</c:v>
                      </c:pt>
                      <c:pt idx="88">
                        <c:v>67386.735250420141</c:v>
                      </c:pt>
                      <c:pt idx="89">
                        <c:v>69669.892304563429</c:v>
                      </c:pt>
                      <c:pt idx="90">
                        <c:v>71944.962068824563</c:v>
                      </c:pt>
                      <c:pt idx="91">
                        <c:v>74207.817673201964</c:v>
                      </c:pt>
                      <c:pt idx="92">
                        <c:v>76454.516939254754</c:v>
                      </c:pt>
                      <c:pt idx="93">
                        <c:v>78681.323555073628</c:v>
                      </c:pt>
                      <c:pt idx="94">
                        <c:v>80884.724423202671</c:v>
                      </c:pt>
                      <c:pt idx="95">
                        <c:v>83061.443222307018</c:v>
                      </c:pt>
                      <c:pt idx="96">
                        <c:v>85208.450303655263</c:v>
                      </c:pt>
                      <c:pt idx="97">
                        <c:v>87322.969110203077</c:v>
                      </c:pt>
                      <c:pt idx="98">
                        <c:v>89402.479358777797</c:v>
                      </c:pt>
                      <c:pt idx="99">
                        <c:v>91444.717264820225</c:v>
                      </c:pt>
                      <c:pt idx="100">
                        <c:v>93447.673115136538</c:v>
                      </c:pt>
                      <c:pt idx="101">
                        <c:v>95409.586508354856</c:v>
                      </c:pt>
                      <c:pt idx="102">
                        <c:v>97328.939586735709</c:v>
                      </c:pt>
                      <c:pt idx="103">
                        <c:v>99204.448578263342</c:v>
                      </c:pt>
                      <c:pt idx="104">
                        <c:v>101035.05395618666</c:v>
                      </c:pt>
                      <c:pt idx="105">
                        <c:v>102819.90950597856</c:v>
                      </c:pt>
                      <c:pt idx="106">
                        <c:v>104558.37056852008</c:v>
                      </c:pt>
                      <c:pt idx="107">
                        <c:v>106249.98170451951</c:v>
                      </c:pt>
                      <c:pt idx="108">
                        <c:v>107894.46399989762</c:v>
                      </c:pt>
                      <c:pt idx="109">
                        <c:v>109491.70220607406</c:v>
                      </c:pt>
                      <c:pt idx="110">
                        <c:v>111041.73188356028</c:v>
                      </c:pt>
                      <c:pt idx="111">
                        <c:v>112544.72669261142</c:v>
                      </c:pt>
                      <c:pt idx="112">
                        <c:v>114000.98595136836</c:v>
                      </c:pt>
                      <c:pt idx="113">
                        <c:v>115410.9225602486</c:v>
                      </c:pt>
                      <c:pt idx="114">
                        <c:v>116775.05137152197</c:v>
                      </c:pt>
                      <c:pt idx="115">
                        <c:v>118093.97806513787</c:v>
                      </c:pt>
                      <c:pt idx="116">
                        <c:v>119368.38857598144</c:v>
                      </c:pt>
                      <c:pt idx="117">
                        <c:v>120599.03910379381</c:v>
                      </c:pt>
                      <c:pt idx="118">
                        <c:v>121786.74672491662</c:v>
                      </c:pt>
                      <c:pt idx="119">
                        <c:v>122932.38061470483</c:v>
                      </c:pt>
                      <c:pt idx="120">
                        <c:v>124036.85388076154</c:v>
                      </c:pt>
                      <c:pt idx="121">
                        <c:v>125101.11599994352</c:v>
                      </c:pt>
                      <c:pt idx="122">
                        <c:v>126126.14584621599</c:v>
                      </c:pt>
                      <c:pt idx="123">
                        <c:v>127112.94529175501</c:v>
                      </c:pt>
                      <c:pt idx="124">
                        <c:v>128062.53336006045</c:v>
                      </c:pt>
                      <c:pt idx="125">
                        <c:v>128975.9409071189</c:v>
                      </c:pt>
                      <c:pt idx="126">
                        <c:v>129854.20580471453</c:v>
                      </c:pt>
                      <c:pt idx="127">
                        <c:v>130698.36859871382</c:v>
                      </c:pt>
                      <c:pt idx="128">
                        <c:v>131509.4686144398</c:v>
                      </c:pt>
                      <c:pt idx="129">
                        <c:v>132288.54048100908</c:v>
                      </c:pt>
                      <c:pt idx="130">
                        <c:v>133036.61104664751</c:v>
                      </c:pt>
                      <c:pt idx="131">
                        <c:v>133754.69665745238</c:v>
                      </c:pt>
                      <c:pt idx="132">
                        <c:v>134443.80077276911</c:v>
                      </c:pt>
                      <c:pt idx="133">
                        <c:v>135104.91189123911</c:v>
                      </c:pt>
                      <c:pt idx="134">
                        <c:v>135739.00176261013</c:v>
                      </c:pt>
                      <c:pt idx="135">
                        <c:v>136347.02386153606</c:v>
                      </c:pt>
                      <c:pt idx="136">
                        <c:v>136929.91210079956</c:v>
                      </c:pt>
                      <c:pt idx="137">
                        <c:v>137488.5797626375</c:v>
                      </c:pt>
                      <c:pt idx="138">
                        <c:v>138023.91862811364</c:v>
                      </c:pt>
                      <c:pt idx="139">
                        <c:v>138536.79828574677</c:v>
                      </c:pt>
                      <c:pt idx="140">
                        <c:v>139028.06560184917</c:v>
                      </c:pt>
                      <c:pt idx="141">
                        <c:v>139498.54433624909</c:v>
                      </c:pt>
                      <c:pt idx="142">
                        <c:v>139949.03488825171</c:v>
                      </c:pt>
                      <c:pt idx="143">
                        <c:v>140380.31415882974</c:v>
                      </c:pt>
                      <c:pt idx="144">
                        <c:v>140793.13551612102</c:v>
                      </c:pt>
                      <c:pt idx="145">
                        <c:v>141188.22885234476</c:v>
                      </c:pt>
                      <c:pt idx="146">
                        <c:v>141566.30072122623</c:v>
                      </c:pt>
                      <c:pt idx="147">
                        <c:v>141928.03454594262</c:v>
                      </c:pt>
                      <c:pt idx="148">
                        <c:v>142274.09088846933</c:v>
                      </c:pt>
                      <c:pt idx="149">
                        <c:v>142605.10777201675</c:v>
                      </c:pt>
                      <c:pt idx="150">
                        <c:v>142921.70104900448</c:v>
                      </c:pt>
                      <c:pt idx="151">
                        <c:v>143224.4648077242</c:v>
                      </c:pt>
                      <c:pt idx="152">
                        <c:v>143513.9718114956</c:v>
                      </c:pt>
                      <c:pt idx="153">
                        <c:v>143790.77396472421</c:v>
                      </c:pt>
                      <c:pt idx="154">
                        <c:v>144055.40280082927</c:v>
                      </c:pt>
                      <c:pt idx="155">
                        <c:v>144308.36998752347</c:v>
                      </c:pt>
                      <c:pt idx="156">
                        <c:v>144550.16784540055</c:v>
                      </c:pt>
                      <c:pt idx="157">
                        <c:v>144781.26987622012</c:v>
                      </c:pt>
                      <c:pt idx="158">
                        <c:v>145002.13129767793</c:v>
                      </c:pt>
                      <c:pt idx="159">
                        <c:v>145213.18958181248</c:v>
                      </c:pt>
                      <c:pt idx="160">
                        <c:v>145414.86499453158</c:v>
                      </c:pt>
                      <c:pt idx="161">
                        <c:v>145607.56113404452</c:v>
                      </c:pt>
                      <c:pt idx="162">
                        <c:v>145791.66546626016</c:v>
                      </c:pt>
                      <c:pt idx="163">
                        <c:v>145967.54985546175</c:v>
                      </c:pt>
                      <c:pt idx="164">
                        <c:v>146135.57108879392</c:v>
                      </c:pt>
                      <c:pt idx="165">
                        <c:v>146296.07139330351</c:v>
                      </c:pt>
                      <c:pt idx="166">
                        <c:v>146449.37894445911</c:v>
                      </c:pt>
                      <c:pt idx="167">
                        <c:v>146595.8083652411</c:v>
                      </c:pt>
                      <c:pt idx="168">
                        <c:v>146735.66121504368</c:v>
                      </c:pt>
                      <c:pt idx="169">
                        <c:v>146869.22646776412</c:v>
                      </c:pt>
                      <c:pt idx="170">
                        <c:v>146996.78097857485</c:v>
                      </c:pt>
                      <c:pt idx="171">
                        <c:v>147118.58993898117</c:v>
                      </c:pt>
                      <c:pt idx="172">
                        <c:v>147234.90731986298</c:v>
                      </c:pt>
                      <c:pt idx="173">
                        <c:v>147345.97630228385</c:v>
                      </c:pt>
                      <c:pt idx="174">
                        <c:v>147452.0296959258</c:v>
                      </c:pt>
                      <c:pt idx="175">
                        <c:v>147553.29034507467</c:v>
                      </c:pt>
                      <c:pt idx="176">
                        <c:v>147649.97152213927</c:v>
                      </c:pt>
                      <c:pt idx="177">
                        <c:v>147742.27730873888</c:v>
                      </c:pt>
                      <c:pt idx="178">
                        <c:v>147830.40296443761</c:v>
                      </c:pt>
                      <c:pt idx="179">
                        <c:v>147914.53528324395</c:v>
                      </c:pt>
                      <c:pt idx="180">
                        <c:v>147994.85293802575</c:v>
                      </c:pt>
                      <c:pt idx="181">
                        <c:v>148071.52681302093</c:v>
                      </c:pt>
                      <c:pt idx="182">
                        <c:v>148144.72032464715</c:v>
                      </c:pt>
                      <c:pt idx="183">
                        <c:v>148214.58973083491</c:v>
                      </c:pt>
                      <c:pt idx="184">
                        <c:v>148281.28442912514</c:v>
                      </c:pt>
                      <c:pt idx="185">
                        <c:v>148344.94724378607</c:v>
                      </c:pt>
                      <c:pt idx="186">
                        <c:v>148405.71470221528</c:v>
                      </c:pt>
                      <c:pt idx="187">
                        <c:v>148463.71730090157</c:v>
                      </c:pt>
                      <c:pt idx="188">
                        <c:v>148519.07976122736</c:v>
                      </c:pt>
                      <c:pt idx="189">
                        <c:v>148571.92127539724</c:v>
                      </c:pt>
                      <c:pt idx="190">
                        <c:v>148622.35574278049</c:v>
                      </c:pt>
                      <c:pt idx="191">
                        <c:v>148670.49199695725</c:v>
                      </c:pt>
                      <c:pt idx="192">
                        <c:v>148716.43402375744</c:v>
                      </c:pt>
                      <c:pt idx="193">
                        <c:v>148760.28117058068</c:v>
                      </c:pt>
                      <c:pt idx="194">
                        <c:v>148802.12834728329</c:v>
                      </c:pt>
                      <c:pt idx="195">
                        <c:v>148842.06621891487</c:v>
                      </c:pt>
                      <c:pt idx="196">
                        <c:v>148880.18139058392</c:v>
                      </c:pt>
                      <c:pt idx="197">
                        <c:v>148916.55658472705</c:v>
                      </c:pt>
                      <c:pt idx="198">
                        <c:v>148951.27081105139</c:v>
                      </c:pt>
                      <c:pt idx="199">
                        <c:v>148984.39952941457</c:v>
                      </c:pt>
                      <c:pt idx="200">
                        <c:v>149016.01480590089</c:v>
                      </c:pt>
                      <c:pt idx="201">
                        <c:v>149046.18546234607</c:v>
                      </c:pt>
                      <c:pt idx="202">
                        <c:v>149074.97721955672</c:v>
                      </c:pt>
                      <c:pt idx="203">
                        <c:v>149102.45283446452</c:v>
                      </c:pt>
                      <c:pt idx="204">
                        <c:v>149128.67223144791</c:v>
                      </c:pt>
                      <c:pt idx="205">
                        <c:v>149153.69262804798</c:v>
                      </c:pt>
                      <c:pt idx="206">
                        <c:v>149177.56865529809</c:v>
                      </c:pt>
                      <c:pt idx="207">
                        <c:v>149200.35247288042</c:v>
                      </c:pt>
                      <c:pt idx="208">
                        <c:v>149222.09387931542</c:v>
                      </c:pt>
                      <c:pt idx="209">
                        <c:v>149242.84041738394</c:v>
                      </c:pt>
                      <c:pt idx="210">
                        <c:v>149262.63747497479</c:v>
                      </c:pt>
                      <c:pt idx="211">
                        <c:v>149281.52838154428</c:v>
                      </c:pt>
                      <c:pt idx="212">
                        <c:v>149299.55450036735</c:v>
                      </c:pt>
                      <c:pt idx="213">
                        <c:v>149316.75531675431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C75-4BBE-9725-F3AC47AC8A50}"/>
                  </c:ext>
                </c:extLst>
              </c15:ser>
            </c15:filteredLineSeries>
          </c:ext>
        </c:extLst>
      </c:lineChart>
      <c:dateAx>
        <c:axId val="3135932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96560"/>
        <c:crosses val="autoZero"/>
        <c:auto val="1"/>
        <c:lblOffset val="100"/>
        <c:baseTimeUnit val="days"/>
      </c:dateAx>
      <c:valAx>
        <c:axId val="3135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9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SIR</a:t>
            </a:r>
            <a:r>
              <a:rPr lang="en-PH" baseline="0"/>
              <a:t> with New Cases (7 day moving ave and modelled)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cases (7 day moving ave)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Epidemic!$D$6:$D$219</c:f>
              <c:numCache>
                <c:formatCode>General</c:formatCode>
                <c:ptCount val="214"/>
                <c:pt idx="0">
                  <c:v>219.57142857142858</c:v>
                </c:pt>
                <c:pt idx="1">
                  <c:v>182.14285714285714</c:v>
                </c:pt>
                <c:pt idx="2" formatCode="0">
                  <c:v>214.14285714285714</c:v>
                </c:pt>
                <c:pt idx="3" formatCode="0">
                  <c:v>201.57142857142858</c:v>
                </c:pt>
                <c:pt idx="4" formatCode="0">
                  <c:v>207.71428571428572</c:v>
                </c:pt>
                <c:pt idx="5" formatCode="0">
                  <c:v>216.14285714285714</c:v>
                </c:pt>
                <c:pt idx="6" formatCode="0">
                  <c:v>213.28571428571428</c:v>
                </c:pt>
                <c:pt idx="7" formatCode="0">
                  <c:v>201.28571428571428</c:v>
                </c:pt>
                <c:pt idx="8" formatCode="0">
                  <c:v>236.14285714285714</c:v>
                </c:pt>
                <c:pt idx="9" formatCode="0">
                  <c:v>235.71428571428572</c:v>
                </c:pt>
                <c:pt idx="10" formatCode="0">
                  <c:v>248.85714285714286</c:v>
                </c:pt>
                <c:pt idx="11" formatCode="0">
                  <c:v>244</c:v>
                </c:pt>
                <c:pt idx="12" formatCode="0">
                  <c:v>239.71428571428572</c:v>
                </c:pt>
                <c:pt idx="13" formatCode="0">
                  <c:v>233.85714285714286</c:v>
                </c:pt>
                <c:pt idx="14" formatCode="0">
                  <c:v>235</c:v>
                </c:pt>
                <c:pt idx="15" formatCode="0">
                  <c:v>234.28571428571428</c:v>
                </c:pt>
                <c:pt idx="16" formatCode="0">
                  <c:v>236.28571428571428</c:v>
                </c:pt>
                <c:pt idx="17" formatCode="0">
                  <c:v>237</c:v>
                </c:pt>
                <c:pt idx="18" formatCode="0">
                  <c:v>231</c:v>
                </c:pt>
                <c:pt idx="19" formatCode="0">
                  <c:v>272</c:v>
                </c:pt>
                <c:pt idx="20" formatCode="0">
                  <c:v>279.14285714285717</c:v>
                </c:pt>
                <c:pt idx="21" formatCode="0">
                  <c:v>318.57142857142856</c:v>
                </c:pt>
                <c:pt idx="22" formatCode="0">
                  <c:v>333.42857142857144</c:v>
                </c:pt>
                <c:pt idx="23" formatCode="0">
                  <c:v>336.42857142857144</c:v>
                </c:pt>
                <c:pt idx="24" formatCode="0">
                  <c:v>350.42857142857144</c:v>
                </c:pt>
                <c:pt idx="25" formatCode="0">
                  <c:v>403.42857142857144</c:v>
                </c:pt>
                <c:pt idx="26" formatCode="0">
                  <c:v>384.42857142857144</c:v>
                </c:pt>
                <c:pt idx="27" formatCode="0">
                  <c:v>398.71428571428572</c:v>
                </c:pt>
                <c:pt idx="28" formatCode="0">
                  <c:v>349.71428571428572</c:v>
                </c:pt>
                <c:pt idx="29" formatCode="0">
                  <c:v>389</c:v>
                </c:pt>
                <c:pt idx="30" formatCode="0">
                  <c:v>433.85714285714283</c:v>
                </c:pt>
                <c:pt idx="31" formatCode="0">
                  <c:v>549.71428571428567</c:v>
                </c:pt>
                <c:pt idx="32" formatCode="0">
                  <c:v>616</c:v>
                </c:pt>
                <c:pt idx="33" formatCode="0">
                  <c:v>689.85714285714289</c:v>
                </c:pt>
                <c:pt idx="34" formatCode="0">
                  <c:v>833.71428571428567</c:v>
                </c:pt>
                <c:pt idx="35" formatCode="0">
                  <c:v>905.42857142857144</c:v>
                </c:pt>
                <c:pt idx="36" formatCode="0">
                  <c:v>908.71428571428567</c:v>
                </c:pt>
                <c:pt idx="37" formatCode="0">
                  <c:v>929.57142857142856</c:v>
                </c:pt>
                <c:pt idx="38" formatCode="0">
                  <c:v>922.85714285714289</c:v>
                </c:pt>
                <c:pt idx="39" formatCode="0">
                  <c:v>852.57142857142856</c:v>
                </c:pt>
                <c:pt idx="40" formatCode="0">
                  <c:v>778.57142857142856</c:v>
                </c:pt>
                <c:pt idx="41" formatCode="0">
                  <c:v>670.85714285714289</c:v>
                </c:pt>
                <c:pt idx="42" formatCode="0">
                  <c:v>816.85714285714289</c:v>
                </c:pt>
                <c:pt idx="43" formatCode="0">
                  <c:v>857</c:v>
                </c:pt>
                <c:pt idx="44" formatCode="0">
                  <c:v>971.71428571428567</c:v>
                </c:pt>
                <c:pt idx="45" formatCode="0">
                  <c:v>1020.7142857142857</c:v>
                </c:pt>
                <c:pt idx="46" formatCode="0">
                  <c:v>1111.1428571428571</c:v>
                </c:pt>
                <c:pt idx="47" formatCode="0">
                  <c:v>1252.7142857142858</c:v>
                </c:pt>
                <c:pt idx="48" formatCode="0">
                  <c:v>1275.7142857142858</c:v>
                </c:pt>
                <c:pt idx="49" formatCode="0">
                  <c:v>1224.1428571428571</c:v>
                </c:pt>
                <c:pt idx="50" formatCode="0">
                  <c:v>1249.8571428571429</c:v>
                </c:pt>
                <c:pt idx="51" formatCode="0">
                  <c:v>1164.8571428571429</c:v>
                </c:pt>
                <c:pt idx="52" formatCode="0">
                  <c:v>1116.7142857142858</c:v>
                </c:pt>
                <c:pt idx="53" formatCode="0">
                  <c:v>1098.7142857142858</c:v>
                </c:pt>
                <c:pt idx="54" formatCode="0">
                  <c:v>1019.5714285714286</c:v>
                </c:pt>
                <c:pt idx="55" formatCode="0">
                  <c:v>1023.8571428571429</c:v>
                </c:pt>
                <c:pt idx="56" formatCode="0">
                  <c:v>1107.5714285714287</c:v>
                </c:pt>
                <c:pt idx="57" formatCode="0">
                  <c:v>1267.5714285714287</c:v>
                </c:pt>
                <c:pt idx="58" formatCode="0">
                  <c:v>1498.1428571428571</c:v>
                </c:pt>
                <c:pt idx="59" formatCode="0">
                  <c:v>1715.8571428571429</c:v>
                </c:pt>
                <c:pt idx="60" formatCode="0">
                  <c:v>1788</c:v>
                </c:pt>
                <c:pt idx="61" formatCode="0">
                  <c:v>2099.5714285714284</c:v>
                </c:pt>
                <c:pt idx="62" formatCode="0">
                  <c:v>2324.8571428571427</c:v>
                </c:pt>
                <c:pt idx="63" formatCode="0">
                  <c:v>2342.4285714285716</c:v>
                </c:pt>
                <c:pt idx="64" formatCode="0">
                  <c:v>2276</c:v>
                </c:pt>
                <c:pt idx="65" formatCode="0">
                  <c:v>2287.8571428571427</c:v>
                </c:pt>
                <c:pt idx="66" formatCode="0">
                  <c:v>2144</c:v>
                </c:pt>
                <c:pt idx="67" formatCode="0">
                  <c:v>2519.4285714285716</c:v>
                </c:pt>
                <c:pt idx="68" formatCode="0">
                  <c:v>2303.7142857142858</c:v>
                </c:pt>
                <c:pt idx="69" formatCode="0">
                  <c:v>2325</c:v>
                </c:pt>
                <c:pt idx="70" formatCode="0">
                  <c:v>2382.1428571428573</c:v>
                </c:pt>
                <c:pt idx="71" formatCode="0">
                  <c:v>2665.2857142857142</c:v>
                </c:pt>
                <c:pt idx="72" formatCode="0">
                  <c:v>2627.8571428571427</c:v>
                </c:pt>
                <c:pt idx="73" formatCode="0">
                  <c:v>2679.7142857142858</c:v>
                </c:pt>
                <c:pt idx="74" formatCode="0">
                  <c:v>2356.1428571428573</c:v>
                </c:pt>
                <c:pt idx="75" formatCode="0">
                  <c:v>2564.5714285714284</c:v>
                </c:pt>
                <c:pt idx="76" formatCode="0">
                  <c:v>2634.5714285714284</c:v>
                </c:pt>
                <c:pt idx="77" formatCode="0">
                  <c:v>2651.5714285714284</c:v>
                </c:pt>
                <c:pt idx="78" formatCode="0">
                  <c:v>2492.1428571428573</c:v>
                </c:pt>
                <c:pt idx="79" formatCode="0">
                  <c:v>2544.5714285714284</c:v>
                </c:pt>
                <c:pt idx="80" formatCode="0">
                  <c:v>2400.7142857142858</c:v>
                </c:pt>
                <c:pt idx="81" formatCode="0">
                  <c:v>2482.1428571428573</c:v>
                </c:pt>
                <c:pt idx="82" formatCode="0">
                  <c:v>2290.8571428571427</c:v>
                </c:pt>
                <c:pt idx="83" formatCode="0">
                  <c:v>2303.7142857142858</c:v>
                </c:pt>
                <c:pt idx="84" formatCode="0">
                  <c:v>2167.8571428571427</c:v>
                </c:pt>
                <c:pt idx="85" formatCode="0">
                  <c:v>2081.5714285714284</c:v>
                </c:pt>
                <c:pt idx="86" formatCode="0">
                  <c:v>1967.1428571428571</c:v>
                </c:pt>
                <c:pt idx="87" formatCode="0">
                  <c:v>2135</c:v>
                </c:pt>
                <c:pt idx="88" formatCode="0">
                  <c:v>2051.1428571428573</c:v>
                </c:pt>
                <c:pt idx="89" formatCode="0">
                  <c:v>2083</c:v>
                </c:pt>
                <c:pt idx="90" formatCode="0">
                  <c:v>1803.2857142857142</c:v>
                </c:pt>
                <c:pt idx="91" formatCode="0">
                  <c:v>1691.2857142857142</c:v>
                </c:pt>
                <c:pt idx="92" formatCode="0">
                  <c:v>1649.1428571428571</c:v>
                </c:pt>
                <c:pt idx="93" formatCode="0">
                  <c:v>1527.7142857142858</c:v>
                </c:pt>
                <c:pt idx="94" formatCode="0">
                  <c:v>1378</c:v>
                </c:pt>
                <c:pt idx="95" formatCode="0">
                  <c:v>1182.4285714285713</c:v>
                </c:pt>
                <c:pt idx="96" formatCode="0">
                  <c:v>1128.8571428571429</c:v>
                </c:pt>
                <c:pt idx="97" formatCode="0">
                  <c:v>1175.1428571428571</c:v>
                </c:pt>
                <c:pt idx="98" formatCode="0">
                  <c:v>1369</c:v>
                </c:pt>
                <c:pt idx="99" formatCode="0">
                  <c:v>1372.7142857142858</c:v>
                </c:pt>
                <c:pt idx="100" formatCode="0">
                  <c:v>1583.4285714285713</c:v>
                </c:pt>
                <c:pt idx="101" formatCode="0">
                  <c:v>1631.7142857142858</c:v>
                </c:pt>
                <c:pt idx="102" formatCode="0">
                  <c:v>1916</c:v>
                </c:pt>
                <c:pt idx="103" formatCode="0">
                  <c:v>1960.7142857142858</c:v>
                </c:pt>
                <c:pt idx="104" formatCode="0">
                  <c:v>1981.1428571428571</c:v>
                </c:pt>
                <c:pt idx="105" formatCode="0">
                  <c:v>1855.4285714285713</c:v>
                </c:pt>
                <c:pt idx="106" formatCode="0">
                  <c:v>1788.4285714285713</c:v>
                </c:pt>
                <c:pt idx="107" formatCode="0">
                  <c:v>1623.1428571428571</c:v>
                </c:pt>
                <c:pt idx="108" formatCode="0">
                  <c:v>1600.7142857142858</c:v>
                </c:pt>
                <c:pt idx="109" formatCode="0">
                  <c:v>1420.5714285714287</c:v>
                </c:pt>
                <c:pt idx="110" formatCode="0">
                  <c:v>1252.7142857142858</c:v>
                </c:pt>
                <c:pt idx="111" formatCode="0">
                  <c:v>1192.1428571428571</c:v>
                </c:pt>
                <c:pt idx="112" formatCode="0">
                  <c:v>1123</c:v>
                </c:pt>
                <c:pt idx="113" formatCode="0">
                  <c:v>1084.1428571428571</c:v>
                </c:pt>
                <c:pt idx="114" formatCode="0">
                  <c:v>1033.4285714285713</c:v>
                </c:pt>
                <c:pt idx="115" formatCode="0">
                  <c:v>993.85714285714289</c:v>
                </c:pt>
                <c:pt idx="116" formatCode="0">
                  <c:v>980.28571428571433</c:v>
                </c:pt>
                <c:pt idx="117" formatCode="0">
                  <c:v>985.14285714285711</c:v>
                </c:pt>
                <c:pt idx="118" formatCode="0">
                  <c:v>939.28571428571433</c:v>
                </c:pt>
                <c:pt idx="119" formatCode="0">
                  <c:v>958.57142857142856</c:v>
                </c:pt>
                <c:pt idx="120" formatCode="0">
                  <c:v>959</c:v>
                </c:pt>
                <c:pt idx="121" formatCode="0">
                  <c:v>949.14285714285711</c:v>
                </c:pt>
                <c:pt idx="122" formatCode="0">
                  <c:v>978</c:v>
                </c:pt>
                <c:pt idx="123" formatCode="0">
                  <c:v>928.71428571428567</c:v>
                </c:pt>
                <c:pt idx="124" formatCode="0">
                  <c:v>921</c:v>
                </c:pt>
                <c:pt idx="125" formatCode="0">
                  <c:v>941.14285714285711</c:v>
                </c:pt>
                <c:pt idx="126" formatCode="0">
                  <c:v>933</c:v>
                </c:pt>
                <c:pt idx="127" formatCode="0">
                  <c:v>935.42857142857144</c:v>
                </c:pt>
                <c:pt idx="128" formatCode="0">
                  <c:v>879</c:v>
                </c:pt>
                <c:pt idx="129" formatCode="0">
                  <c:v>811.71428571428567</c:v>
                </c:pt>
                <c:pt idx="130" formatCode="0">
                  <c:v>887.71428571428567</c:v>
                </c:pt>
                <c:pt idx="131" formatCode="0">
                  <c:v>893.71428571428567</c:v>
                </c:pt>
                <c:pt idx="132" formatCode="0">
                  <c:v>838.42857142857144</c:v>
                </c:pt>
                <c:pt idx="133" formatCode="0">
                  <c:v>797.42857142857144</c:v>
                </c:pt>
                <c:pt idx="134" formatCode="0">
                  <c:v>780.57142857142856</c:v>
                </c:pt>
                <c:pt idx="135" formatCode="0">
                  <c:v>794</c:v>
                </c:pt>
                <c:pt idx="136" formatCode="0">
                  <c:v>798.42857142857144</c:v>
                </c:pt>
                <c:pt idx="137" formatCode="0">
                  <c:v>718.85714285714289</c:v>
                </c:pt>
                <c:pt idx="138" formatCode="0">
                  <c:v>692.85714285714289</c:v>
                </c:pt>
                <c:pt idx="139" formatCode="0">
                  <c:v>657.85714285714289</c:v>
                </c:pt>
                <c:pt idx="140" formatCode="0">
                  <c:v>647.71428571428567</c:v>
                </c:pt>
                <c:pt idx="141" formatCode="0">
                  <c:v>581.42857142857144</c:v>
                </c:pt>
                <c:pt idx="142" formatCode="0">
                  <c:v>556</c:v>
                </c:pt>
                <c:pt idx="143" formatCode="0">
                  <c:v>522.42857142857144</c:v>
                </c:pt>
                <c:pt idx="144" formatCode="0">
                  <c:v>467.42857142857144</c:v>
                </c:pt>
                <c:pt idx="145" formatCode="0">
                  <c:v>461</c:v>
                </c:pt>
                <c:pt idx="146" formatCode="0">
                  <c:v>488</c:v>
                </c:pt>
                <c:pt idx="147" formatCode="0">
                  <c:v>488.57142857142856</c:v>
                </c:pt>
                <c:pt idx="148" formatCode="0">
                  <c:v>496.28571428571428</c:v>
                </c:pt>
                <c:pt idx="149" formatCode="0">
                  <c:v>485.14285714285717</c:v>
                </c:pt>
                <c:pt idx="150" formatCode="0">
                  <c:v>489.42857142857144</c:v>
                </c:pt>
                <c:pt idx="151" formatCode="0">
                  <c:v>524</c:v>
                </c:pt>
                <c:pt idx="152" formatCode="0">
                  <c:v>531.85714285714289</c:v>
                </c:pt>
                <c:pt idx="153" formatCode="0">
                  <c:v>482.28571428571428</c:v>
                </c:pt>
                <c:pt idx="154" formatCode="0">
                  <c:v>492.85714285714283</c:v>
                </c:pt>
                <c:pt idx="155" formatCode="0">
                  <c:v>490</c:v>
                </c:pt>
                <c:pt idx="156" formatCode="0">
                  <c:v>500.85714285714283</c:v>
                </c:pt>
                <c:pt idx="157" formatCode="0">
                  <c:v>510.57142857142856</c:v>
                </c:pt>
                <c:pt idx="158" formatCode="0">
                  <c:v>487.85714285714283</c:v>
                </c:pt>
                <c:pt idx="159" formatCode="0">
                  <c:v>481.42857142857144</c:v>
                </c:pt>
                <c:pt idx="160" formatCode="0">
                  <c:v>507</c:v>
                </c:pt>
                <c:pt idx="161" formatCode="0">
                  <c:v>470.57142857142856</c:v>
                </c:pt>
                <c:pt idx="162" formatCode="0">
                  <c:v>450.85714285714283</c:v>
                </c:pt>
                <c:pt idx="163" formatCode="0">
                  <c:v>420.71428571428572</c:v>
                </c:pt>
                <c:pt idx="164" formatCode="0">
                  <c:v>387.14285714285717</c:v>
                </c:pt>
                <c:pt idx="165" formatCode="0">
                  <c:v>369.42857142857144</c:v>
                </c:pt>
                <c:pt idx="166" formatCode="0">
                  <c:v>350.42857142857144</c:v>
                </c:pt>
                <c:pt idx="167" formatCode="0">
                  <c:v>343.85714285714283</c:v>
                </c:pt>
                <c:pt idx="168" formatCode="0">
                  <c:v>342.71428571428572</c:v>
                </c:pt>
                <c:pt idx="169" formatCode="0">
                  <c:v>337.85714285714283</c:v>
                </c:pt>
                <c:pt idx="170" formatCode="0">
                  <c:v>336.28571428571428</c:v>
                </c:pt>
                <c:pt idx="171" formatCode="0">
                  <c:v>347.85714285714283</c:v>
                </c:pt>
                <c:pt idx="172" formatCode="0">
                  <c:v>364.14285714285717</c:v>
                </c:pt>
                <c:pt idx="173" formatCode="0">
                  <c:v>369.71428571428572</c:v>
                </c:pt>
                <c:pt idx="174" formatCode="0">
                  <c:v>365</c:v>
                </c:pt>
                <c:pt idx="175" formatCode="0">
                  <c:v>366.57142857142856</c:v>
                </c:pt>
                <c:pt idx="176" formatCode="0">
                  <c:v>392.85714285714283</c:v>
                </c:pt>
                <c:pt idx="177" formatCode="0">
                  <c:v>402</c:v>
                </c:pt>
                <c:pt idx="178" formatCode="0">
                  <c:v>413.42857142857144</c:v>
                </c:pt>
                <c:pt idx="179" formatCode="0">
                  <c:v>407</c:v>
                </c:pt>
                <c:pt idx="180" formatCode="0">
                  <c:v>409.57142857142856</c:v>
                </c:pt>
                <c:pt idx="181" formatCode="0">
                  <c:v>416.42857142857144</c:v>
                </c:pt>
                <c:pt idx="182" formatCode="0">
                  <c:v>413.85714285714283</c:v>
                </c:pt>
                <c:pt idx="183" formatCode="0">
                  <c:v>369.71428571428572</c:v>
                </c:pt>
                <c:pt idx="184" formatCode="0">
                  <c:v>376</c:v>
                </c:pt>
                <c:pt idx="185" formatCode="0">
                  <c:v>360.57142857142856</c:v>
                </c:pt>
                <c:pt idx="186" formatCode="0">
                  <c:v>356</c:v>
                </c:pt>
                <c:pt idx="187" formatCode="0">
                  <c:v>361.14285714285717</c:v>
                </c:pt>
                <c:pt idx="188" formatCode="0">
                  <c:v>360</c:v>
                </c:pt>
                <c:pt idx="189" formatCode="0">
                  <c:v>364.71428571428572</c:v>
                </c:pt>
                <c:pt idx="190" formatCode="0">
                  <c:v>375.42857142857144</c:v>
                </c:pt>
                <c:pt idx="191" formatCode="0">
                  <c:v>363</c:v>
                </c:pt>
                <c:pt idx="192" formatCode="0">
                  <c:v>347.28571428571428</c:v>
                </c:pt>
                <c:pt idx="193" formatCode="0">
                  <c:v>367.14285714285717</c:v>
                </c:pt>
                <c:pt idx="194" formatCode="0">
                  <c:v>360.42857142857144</c:v>
                </c:pt>
                <c:pt idx="195" formatCode="0">
                  <c:v>350.57142857142856</c:v>
                </c:pt>
                <c:pt idx="196" formatCode="0">
                  <c:v>355.85714285714283</c:v>
                </c:pt>
                <c:pt idx="197" formatCode="0">
                  <c:v>410.57142857142856</c:v>
                </c:pt>
                <c:pt idx="198" formatCode="0">
                  <c:v>423.28571428571428</c:v>
                </c:pt>
                <c:pt idx="199" formatCode="0">
                  <c:v>438.42857142857144</c:v>
                </c:pt>
                <c:pt idx="200" formatCode="0">
                  <c:v>449</c:v>
                </c:pt>
                <c:pt idx="201" formatCode="0">
                  <c:v>457</c:v>
                </c:pt>
                <c:pt idx="202" formatCode="0">
                  <c:v>478.42857142857144</c:v>
                </c:pt>
                <c:pt idx="203" formatCode="0">
                  <c:v>496.42857142857144</c:v>
                </c:pt>
                <c:pt idx="204" formatCode="0">
                  <c:v>472.57142857142856</c:v>
                </c:pt>
                <c:pt idx="205" formatCode="0">
                  <c:v>463</c:v>
                </c:pt>
                <c:pt idx="206" formatCode="0">
                  <c:v>428</c:v>
                </c:pt>
                <c:pt idx="207" formatCode="0">
                  <c:v>369.28571428571428</c:v>
                </c:pt>
                <c:pt idx="208" formatCode="0">
                  <c:v>352</c:v>
                </c:pt>
                <c:pt idx="209" formatCode="0">
                  <c:v>333</c:v>
                </c:pt>
                <c:pt idx="210" formatCode="0">
                  <c:v>341.14285714285717</c:v>
                </c:pt>
                <c:pt idx="211" formatCode="0">
                  <c:v>296.71428571428572</c:v>
                </c:pt>
                <c:pt idx="212" formatCode="0">
                  <c:v>299.14285714285717</c:v>
                </c:pt>
                <c:pt idx="213" formatCode="0">
                  <c:v>416.28571428571428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D8-4A37-9A0F-B4021C8119D8}"/>
            </c:ext>
          </c:extLst>
        </c:ser>
        <c:ser>
          <c:idx val="1"/>
          <c:order val="1"/>
          <c:tx>
            <c:v>new cases (modelled)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Epidemic!$N$6:$N$219</c:f>
              <c:numCache>
                <c:formatCode>General</c:formatCode>
                <c:ptCount val="214"/>
                <c:pt idx="0">
                  <c:v>32.083380471380465</c:v>
                </c:pt>
                <c:pt idx="1">
                  <c:v>34.640920557469094</c:v>
                </c:pt>
                <c:pt idx="2">
                  <c:v>37.400867239595385</c:v>
                </c:pt>
                <c:pt idx="3">
                  <c:v>40.378995118315011</c:v>
                </c:pt>
                <c:pt idx="4">
                  <c:v>43.592267587773129</c:v>
                </c:pt>
                <c:pt idx="5">
                  <c:v>47.058919631602556</c:v>
                </c:pt>
                <c:pt idx="6">
                  <c:v>50.798545227018359</c:v>
                </c:pt>
                <c:pt idx="7">
                  <c:v>54.832189404301978</c:v>
                </c:pt>
                <c:pt idx="8">
                  <c:v>59.182444963179769</c:v>
                </c:pt>
                <c:pt idx="9">
                  <c:v>63.873553791085591</c:v>
                </c:pt>
                <c:pt idx="10">
                  <c:v>68.931512659161442</c:v>
                </c:pt>
                <c:pt idx="11">
                  <c:v>74.384183288069934</c:v>
                </c:pt>
                <c:pt idx="12">
                  <c:v>80.261406374989591</c:v>
                </c:pt>
                <c:pt idx="13">
                  <c:v>86.595119152997782</c:v>
                </c:pt>
                <c:pt idx="14">
                  <c:v>93.419475911590453</c:v>
                </c:pt>
                <c:pt idx="15">
                  <c:v>100.77097073923579</c:v>
                </c:pt>
                <c:pt idx="16">
                  <c:v>108.68856155220885</c:v>
                </c:pt>
                <c:pt idx="17">
                  <c:v>117.2137942448353</c:v>
                </c:pt>
                <c:pt idx="18">
                  <c:v>126.39092553075477</c:v>
                </c:pt>
                <c:pt idx="19">
                  <c:v>136.26704273876575</c:v>
                </c:pt>
                <c:pt idx="20">
                  <c:v>146.89217847595896</c:v>
                </c:pt>
                <c:pt idx="21">
                  <c:v>158.31941767087193</c:v>
                </c:pt>
                <c:pt idx="22">
                  <c:v>170.60499405608974</c:v>
                </c:pt>
                <c:pt idx="23">
                  <c:v>183.80837263915069</c:v>
                </c:pt>
                <c:pt idx="24">
                  <c:v>197.99231413940171</c:v>
                </c:pt>
                <c:pt idx="25">
                  <c:v>213.22291673405556</c:v>
                </c:pt>
                <c:pt idx="26">
                  <c:v>229.56962975786493</c:v>
                </c:pt>
                <c:pt idx="27">
                  <c:v>247.10523323804574</c:v>
                </c:pt>
                <c:pt idx="28">
                  <c:v>265.90577632225467</c:v>
                </c:pt>
                <c:pt idx="29">
                  <c:v>286.05046677858928</c:v>
                </c:pt>
                <c:pt idx="30">
                  <c:v>307.62150282280442</c:v>
                </c:pt>
                <c:pt idx="31">
                  <c:v>330.70383757437992</c:v>
                </c:pt>
                <c:pt idx="32">
                  <c:v>355.38486548114514</c:v>
                </c:pt>
                <c:pt idx="33">
                  <c:v>381.7540191108842</c:v>
                </c:pt>
                <c:pt idx="34">
                  <c:v>409.90226382578686</c:v>
                </c:pt>
                <c:pt idx="35">
                  <c:v>439.92147708043376</c:v>
                </c:pt>
                <c:pt idx="36">
                  <c:v>471.90369847698179</c:v>
                </c:pt>
                <c:pt idx="37">
                  <c:v>505.94023634668656</c:v>
                </c:pt>
                <c:pt idx="38">
                  <c:v>542.12061659394988</c:v>
                </c:pt>
                <c:pt idx="39">
                  <c:v>580.53135994230024</c:v>
                </c:pt>
                <c:pt idx="40">
                  <c:v>621.2545746812815</c:v>
                </c:pt>
                <c:pt idx="41">
                  <c:v>664.36635366392125</c:v>
                </c:pt>
                <c:pt idx="42">
                  <c:v>709.93496679338489</c:v>
                </c:pt>
                <c:pt idx="43">
                  <c:v>758.01884371982146</c:v>
                </c:pt>
                <c:pt idx="44">
                  <c:v>808.66434610123883</c:v>
                </c:pt>
                <c:pt idx="45">
                  <c:v>861.90333471493773</c:v>
                </c:pt>
                <c:pt idx="46">
                  <c:v>917.75054406811523</c:v>
                </c:pt>
                <c:pt idx="47">
                  <c:v>976.2007860413172</c:v>
                </c:pt>
                <c:pt idx="48">
                  <c:v>1037.2260145446348</c:v>
                </c:pt>
                <c:pt idx="49">
                  <c:v>1100.7722951335275</c:v>
                </c:pt>
                <c:pt idx="50">
                  <c:v>1166.75673687428</c:v>
                </c:pt>
                <c:pt idx="51">
                  <c:v>1235.0644581924478</c:v>
                </c:pt>
                <c:pt idx="52">
                  <c:v>1305.5456735474379</c:v>
                </c:pt>
                <c:pt idx="53">
                  <c:v>1378.0130029384895</c:v>
                </c:pt>
                <c:pt idx="54">
                  <c:v>1452.2391206520419</c:v>
                </c:pt>
                <c:pt idx="55">
                  <c:v>1527.9548722998434</c:v>
                </c:pt>
                <c:pt idx="56">
                  <c:v>1604.8479988797005</c:v>
                </c:pt>
                <c:pt idx="57">
                  <c:v>1682.5626119793469</c:v>
                </c:pt>
                <c:pt idx="58">
                  <c:v>1760.6995639207055</c:v>
                </c:pt>
                <c:pt idx="59">
                  <c:v>1838.8178492042478</c:v>
                </c:pt>
                <c:pt idx="60">
                  <c:v>1916.4371577994896</c:v>
                </c:pt>
                <c:pt idx="61">
                  <c:v>1993.0416756697873</c:v>
                </c:pt>
                <c:pt idx="62">
                  <c:v>2068.0851929120176</c:v>
                </c:pt>
                <c:pt idx="63">
                  <c:v>2140.9975351632243</c:v>
                </c:pt>
                <c:pt idx="64">
                  <c:v>2211.19228039263</c:v>
                </c:pt>
                <c:pt idx="65">
                  <c:v>2278.0756626705465</c:v>
                </c:pt>
                <c:pt idx="66">
                  <c:v>2341.0564997331144</c:v>
                </c:pt>
                <c:pt idx="67">
                  <c:v>2399.5569157710083</c:v>
                </c:pt>
                <c:pt idx="68">
                  <c:v>2453.0235692013457</c:v>
                </c:pt>
                <c:pt idx="69">
                  <c:v>2500.9390420029931</c:v>
                </c:pt>
                <c:pt idx="70">
                  <c:v>2542.8330073104012</c:v>
                </c:pt>
                <c:pt idx="71">
                  <c:v>2578.2927697421433</c:v>
                </c:pt>
                <c:pt idx="72">
                  <c:v>2606.9727718303152</c:v>
                </c:pt>
                <c:pt idx="73">
                  <c:v>2628.6026819647559</c:v>
                </c:pt>
                <c:pt idx="74">
                  <c:v>2642.993724762774</c:v>
                </c:pt>
                <c:pt idx="75">
                  <c:v>2650.0429820529043</c:v>
                </c:pt>
                <c:pt idx="76">
                  <c:v>2649.7354781019262</c:v>
                </c:pt>
                <c:pt idx="77">
                  <c:v>2642.1439609862146</c:v>
                </c:pt>
                <c:pt idx="78">
                  <c:v>2627.4263965166701</c:v>
                </c:pt>
                <c:pt idx="79">
                  <c:v>2605.8212946310691</c:v>
                </c:pt>
                <c:pt idx="80">
                  <c:v>2577.6410834897774</c:v>
                </c:pt>
                <c:pt idx="81">
                  <c:v>2543.2638272387189</c:v>
                </c:pt>
                <c:pt idx="82">
                  <c:v>2503.1236445024274</c:v>
                </c:pt>
                <c:pt idx="83">
                  <c:v>2457.7002229200239</c:v>
                </c:pt>
                <c:pt idx="84">
                  <c:v>2407.507839247658</c:v>
                </c:pt>
                <c:pt idx="85">
                  <c:v>2353.0842855382916</c:v>
                </c:pt>
                <c:pt idx="86">
                  <c:v>2294.9800722550845</c:v>
                </c:pt>
                <c:pt idx="87">
                  <c:v>2233.7482328162532</c:v>
                </c:pt>
                <c:pt idx="88">
                  <c:v>2169.9349957931099</c:v>
                </c:pt>
                <c:pt idx="89">
                  <c:v>2104.0715258887667</c:v>
                </c:pt>
                <c:pt idx="90">
                  <c:v>2036.6668678328497</c:v>
                </c:pt>
                <c:pt idx="91">
                  <c:v>1968.2021627779957</c:v>
                </c:pt>
                <c:pt idx="92">
                  <c:v>1899.1261481613458</c:v>
                </c:pt>
                <c:pt idx="93">
                  <c:v>1829.8519017831961</c:v>
                </c:pt>
                <c:pt idx="94">
                  <c:v>1760.7547505189898</c:v>
                </c:pt>
                <c:pt idx="95">
                  <c:v>1692.1712341422044</c:v>
                </c:pt>
                <c:pt idx="96">
                  <c:v>1624.398994924544</c:v>
                </c:pt>
                <c:pt idx="97">
                  <c:v>1557.6974531225369</c:v>
                </c:pt>
                <c:pt idx="98">
                  <c:v>1492.2891258768584</c:v>
                </c:pt>
                <c:pt idx="99">
                  <c:v>1428.3614509442816</c:v>
                </c:pt>
                <c:pt idx="100">
                  <c:v>1366.068985493941</c:v>
                </c:pt>
                <c:pt idx="101">
                  <c:v>1305.5358624357978</c:v>
                </c:pt>
                <c:pt idx="102">
                  <c:v>1246.858401067193</c:v>
                </c:pt>
                <c:pt idx="103">
                  <c:v>1190.1077840834419</c:v>
                </c:pt>
                <c:pt idx="104">
                  <c:v>1135.3327282864964</c:v>
                </c:pt>
                <c:pt idx="105">
                  <c:v>1082.5620909522831</c:v>
                </c:pt>
                <c:pt idx="106">
                  <c:v>1031.8073673009803</c:v>
                </c:pt>
                <c:pt idx="107">
                  <c:v>983.06504655475396</c:v>
                </c:pt>
                <c:pt idx="108">
                  <c:v>936.31880451334405</c:v>
                </c:pt>
                <c:pt idx="109">
                  <c:v>891.54151939515543</c:v>
                </c:pt>
                <c:pt idx="110">
                  <c:v>848.69710493225989</c:v>
                </c:pt>
                <c:pt idx="111">
                  <c:v>807.74216048308165</c:v>
                </c:pt>
                <c:pt idx="112">
                  <c:v>768.62744238420589</c:v>
                </c:pt>
                <c:pt idx="113">
                  <c:v>731.29916406869609</c:v>
                </c:pt>
                <c:pt idx="114">
                  <c:v>695.70013480330533</c:v>
                </c:pt>
                <c:pt idx="115">
                  <c:v>661.77074840664397</c:v>
                </c:pt>
                <c:pt idx="116">
                  <c:v>629.44983415875811</c:v>
                </c:pt>
                <c:pt idx="117">
                  <c:v>598.675382438253</c:v>
                </c:pt>
                <c:pt idx="118">
                  <c:v>569.38515754723164</c:v>
                </c:pt>
                <c:pt idx="119">
                  <c:v>541.51720981039932</c:v>
                </c:pt>
                <c:pt idx="120">
                  <c:v>515.01029844905509</c:v>
                </c:pt>
                <c:pt idx="121">
                  <c:v>489.80423600390617</c:v>
                </c:pt>
                <c:pt idx="122">
                  <c:v>465.84016426910279</c:v>
                </c:pt>
                <c:pt idx="123">
                  <c:v>443.06077084763746</c:v>
                </c:pt>
                <c:pt idx="124">
                  <c:v>421.41045457884769</c:v>
                </c:pt>
                <c:pt idx="125">
                  <c:v>400.83544724695111</c:v>
                </c:pt>
                <c:pt idx="126">
                  <c:v>381.2838981729231</c:v>
                </c:pt>
                <c:pt idx="127">
                  <c:v>362.70592753240925</c:v>
                </c:pt>
                <c:pt idx="128">
                  <c:v>345.0536535370054</c:v>
                </c:pt>
                <c:pt idx="129">
                  <c:v>328.28119796891144</c:v>
                </c:pt>
                <c:pt idx="130">
                  <c:v>312.34467397076759</c:v>
                </c:pt>
                <c:pt idx="131">
                  <c:v>297.20215946260726</c:v>
                </c:pt>
                <c:pt idx="132">
                  <c:v>282.81365908411271</c:v>
                </c:pt>
                <c:pt idx="133">
                  <c:v>269.14105713963284</c:v>
                </c:pt>
                <c:pt idx="134">
                  <c:v>256.14806365204652</c:v>
                </c:pt>
                <c:pt idx="135">
                  <c:v>243.80015530555315</c:v>
                </c:pt>
                <c:pt idx="136">
                  <c:v>232.06451277276796</c:v>
                </c:pt>
                <c:pt idx="137">
                  <c:v>220.90995567406176</c:v>
                </c:pt>
                <c:pt idx="138">
                  <c:v>210.30687620302058</c:v>
                </c:pt>
                <c:pt idx="139">
                  <c:v>200.22717226752857</c:v>
                </c:pt>
                <c:pt idx="140">
                  <c:v>190.64418083787709</c:v>
                </c:pt>
                <c:pt idx="141">
                  <c:v>181.53261205830904</c:v>
                </c:pt>
                <c:pt idx="142">
                  <c:v>172.86848456366312</c:v>
                </c:pt>
                <c:pt idx="143">
                  <c:v>164.62906234568115</c:v>
                </c:pt>
                <c:pt idx="144">
                  <c:v>156.79279343177194</c:v>
                </c:pt>
                <c:pt idx="145">
                  <c:v>149.33925057050953</c:v>
                </c:pt>
                <c:pt idx="146">
                  <c:v>142.24907406105564</c:v>
                </c:pt>
                <c:pt idx="147">
                  <c:v>135.5039168164204</c:v>
                </c:pt>
                <c:pt idx="148">
                  <c:v>129.08639171159442</c:v>
                </c:pt>
                <c:pt idx="149">
                  <c:v>122.98002123586524</c:v>
                </c:pt>
                <c:pt idx="150">
                  <c:v>117.16918944299451</c:v>
                </c:pt>
                <c:pt idx="151">
                  <c:v>111.63909617244499</c:v>
                </c:pt>
                <c:pt idx="152">
                  <c:v>106.37571349870166</c:v>
                </c:pt>
                <c:pt idx="153">
                  <c:v>101.36574435323584</c:v>
                </c:pt>
                <c:pt idx="154">
                  <c:v>96.596583254214494</c:v>
                </c:pt>
                <c:pt idx="155">
                  <c:v>92.056279072148243</c:v>
                </c:pt>
                <c:pt idx="156">
                  <c:v>87.733499754864965</c:v>
                </c:pt>
                <c:pt idx="157">
                  <c:v>83.617498932117229</c:v>
                </c:pt>
                <c:pt idx="158">
                  <c:v>79.69808431846424</c:v>
                </c:pt>
                <c:pt idx="159">
                  <c:v>75.96558783254747</c:v>
                </c:pt>
                <c:pt idx="160">
                  <c:v>72.410837351274182</c:v>
                </c:pt>
                <c:pt idx="161">
                  <c:v>69.025130018546335</c:v>
                </c:pt>
                <c:pt idx="162">
                  <c:v>65.800207029864808</c:v>
                </c:pt>
                <c:pt idx="163">
                  <c:v>62.728229816265291</c:v>
                </c:pt>
                <c:pt idx="164">
                  <c:v>59.801757553494269</c:v>
                </c:pt>
                <c:pt idx="165">
                  <c:v>57.013725925018008</c:v>
                </c:pt>
                <c:pt idx="166">
                  <c:v>54.357427070299401</c:v>
                </c:pt>
                <c:pt idx="167">
                  <c:v>51.826490652716245</c:v>
                </c:pt>
                <c:pt idx="168">
                  <c:v>49.414865984477828</c:v>
                </c:pt>
                <c:pt idx="169">
                  <c:v>47.116805148887238</c:v>
                </c:pt>
                <c:pt idx="170">
                  <c:v>44.926847063259977</c:v>
                </c:pt>
                <c:pt idx="171">
                  <c:v>42.839802428721072</c:v>
                </c:pt>
                <c:pt idx="172">
                  <c:v>40.850739515944831</c:v>
                </c:pt>
                <c:pt idx="173">
                  <c:v>38.95497073865598</c:v>
                </c:pt>
                <c:pt idx="174">
                  <c:v>37.148039969370757</c:v>
                </c:pt>
                <c:pt idx="175">
                  <c:v>35.425710554411872</c:v>
                </c:pt>
                <c:pt idx="176">
                  <c:v>33.783953987678167</c:v>
                </c:pt>
                <c:pt idx="177">
                  <c:v>32.218939204985439</c:v>
                </c:pt>
                <c:pt idx="178">
                  <c:v>30.727022463018969</c:v>
                </c:pt>
                <c:pt idx="179">
                  <c:v>29.3047377690494</c:v>
                </c:pt>
                <c:pt idx="180">
                  <c:v>27.94878782956641</c:v>
                </c:pt>
                <c:pt idx="181">
                  <c:v>26.656035487877986</c:v>
                </c:pt>
                <c:pt idx="182">
                  <c:v>25.423495622513052</c:v>
                </c:pt>
                <c:pt idx="183">
                  <c:v>24.24832747995352</c:v>
                </c:pt>
                <c:pt idx="184">
                  <c:v>23.12782741681297</c:v>
                </c:pt>
                <c:pt idx="185">
                  <c:v>22.059422028077229</c:v>
                </c:pt>
                <c:pt idx="186">
                  <c:v>21.040661639431512</c:v>
                </c:pt>
                <c:pt idx="187">
                  <c:v>20.069214143022933</c:v>
                </c:pt>
                <c:pt idx="188">
                  <c:v>19.142859157251984</c:v>
                </c:pt>
                <c:pt idx="189">
                  <c:v>18.259482492354362</c:v>
                </c:pt>
                <c:pt idx="190">
                  <c:v>17.417070904631156</c:v>
                </c:pt>
                <c:pt idx="191">
                  <c:v>16.613707123213612</c:v>
                </c:pt>
                <c:pt idx="192">
                  <c:v>15.847565134213477</c:v>
                </c:pt>
                <c:pt idx="193">
                  <c:v>15.116905708014166</c:v>
                </c:pt>
                <c:pt idx="194">
                  <c:v>14.420072156305736</c:v>
                </c:pt>
                <c:pt idx="195">
                  <c:v>13.755486306261625</c:v>
                </c:pt>
                <c:pt idx="196">
                  <c:v>13.121644679999768</c:v>
                </c:pt>
                <c:pt idx="197">
                  <c:v>12.517114868169008</c:v>
                </c:pt>
                <c:pt idx="198">
                  <c:v>11.940532087156074</c:v>
                </c:pt>
                <c:pt idx="199">
                  <c:v>11.390595910021931</c:v>
                </c:pt>
                <c:pt idx="200">
                  <c:v>10.866067161851189</c:v>
                </c:pt>
                <c:pt idx="201">
                  <c:v>10.36576497073759</c:v>
                </c:pt>
                <c:pt idx="202">
                  <c:v>9.8885639661341074</c:v>
                </c:pt>
                <c:pt idx="203">
                  <c:v>9.4333916167703489</c:v>
                </c:pt>
                <c:pt idx="204">
                  <c:v>8.9992257007848124</c:v>
                </c:pt>
                <c:pt idx="205">
                  <c:v>8.5850919011369111</c:v>
                </c:pt>
                <c:pt idx="206">
                  <c:v>8.1900615197553801</c:v>
                </c:pt>
                <c:pt idx="207">
                  <c:v>7.8132493042473969</c:v>
                </c:pt>
                <c:pt idx="208">
                  <c:v>7.4538113813380571</c:v>
                </c:pt>
                <c:pt idx="209">
                  <c:v>7.1109432915341717</c:v>
                </c:pt>
                <c:pt idx="210">
                  <c:v>6.7838781198110798</c:v>
                </c:pt>
                <c:pt idx="211">
                  <c:v>6.4718847174075753</c:v>
                </c:pt>
                <c:pt idx="212">
                  <c:v>6.1742660100833424</c:v>
                </c:pt>
                <c:pt idx="213">
                  <c:v>5.89035738844645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D8-4A37-9A0F-B4021C8119D8}"/>
            </c:ext>
          </c:extLst>
        </c:ser>
        <c:ser>
          <c:idx val="2"/>
          <c:order val="2"/>
          <c:tx>
            <c:v>Susceptible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Epidemic!$G$6:$G$219</c:f>
              <c:numCache>
                <c:formatCode>0</c:formatCode>
                <c:ptCount val="214"/>
                <c:pt idx="0" formatCode="General">
                  <c:v>179788</c:v>
                </c:pt>
                <c:pt idx="1">
                  <c:v>179755.91661952861</c:v>
                </c:pt>
                <c:pt idx="2">
                  <c:v>179721.27569897115</c:v>
                </c:pt>
                <c:pt idx="3">
                  <c:v>179683.87483173155</c:v>
                </c:pt>
                <c:pt idx="4">
                  <c:v>179643.49583661323</c:v>
                </c:pt>
                <c:pt idx="5">
                  <c:v>179599.90356902545</c:v>
                </c:pt>
                <c:pt idx="6">
                  <c:v>179552.84464939384</c:v>
                </c:pt>
                <c:pt idx="7">
                  <c:v>179502.04610416683</c:v>
                </c:pt>
                <c:pt idx="8">
                  <c:v>179447.21391476254</c:v>
                </c:pt>
                <c:pt idx="9">
                  <c:v>179388.03146979937</c:v>
                </c:pt>
                <c:pt idx="10">
                  <c:v>179324.15791600829</c:v>
                </c:pt>
                <c:pt idx="11">
                  <c:v>179255.22640334914</c:v>
                </c:pt>
                <c:pt idx="12">
                  <c:v>179180.84222006108</c:v>
                </c:pt>
                <c:pt idx="13">
                  <c:v>179100.5808136861</c:v>
                </c:pt>
                <c:pt idx="14">
                  <c:v>179013.9856945331</c:v>
                </c:pt>
                <c:pt idx="15">
                  <c:v>178920.5662186215</c:v>
                </c:pt>
                <c:pt idx="16">
                  <c:v>178819.79524788226</c:v>
                </c:pt>
                <c:pt idx="17">
                  <c:v>178711.10668633005</c:v>
                </c:pt>
                <c:pt idx="18">
                  <c:v>178593.89289208522</c:v>
                </c:pt>
                <c:pt idx="19">
                  <c:v>178467.50196655447</c:v>
                </c:pt>
                <c:pt idx="20">
                  <c:v>178331.2349238157</c:v>
                </c:pt>
                <c:pt idx="21">
                  <c:v>178184.34274533973</c:v>
                </c:pt>
                <c:pt idx="22">
                  <c:v>178026.02332766887</c:v>
                </c:pt>
                <c:pt idx="23">
                  <c:v>177855.41833361279</c:v>
                </c:pt>
                <c:pt idx="24">
                  <c:v>177671.60996097364</c:v>
                </c:pt>
                <c:pt idx="25">
                  <c:v>177473.61764683423</c:v>
                </c:pt>
                <c:pt idx="26">
                  <c:v>177260.39473010018</c:v>
                </c:pt>
                <c:pt idx="27">
                  <c:v>177030.82510034231</c:v>
                </c:pt>
                <c:pt idx="28">
                  <c:v>176783.71986710426</c:v>
                </c:pt>
                <c:pt idx="29">
                  <c:v>176517.81409078199</c:v>
                </c:pt>
                <c:pt idx="30">
                  <c:v>176231.76362400339</c:v>
                </c:pt>
                <c:pt idx="31">
                  <c:v>175924.14212118057</c:v>
                </c:pt>
                <c:pt idx="32">
                  <c:v>175593.4382836062</c:v>
                </c:pt>
                <c:pt idx="33">
                  <c:v>175238.05341812506</c:v>
                </c:pt>
                <c:pt idx="34">
                  <c:v>174856.29939901418</c:v>
                </c:pt>
                <c:pt idx="35">
                  <c:v>174446.3971351884</c:v>
                </c:pt>
                <c:pt idx="36">
                  <c:v>174006.47565810796</c:v>
                </c:pt>
                <c:pt idx="37">
                  <c:v>173534.57195963096</c:v>
                </c:pt>
                <c:pt idx="38">
                  <c:v>173028.63172328428</c:v>
                </c:pt>
                <c:pt idx="39">
                  <c:v>172486.51110669033</c:v>
                </c:pt>
                <c:pt idx="40">
                  <c:v>171905.97974674802</c:v>
                </c:pt>
                <c:pt idx="41">
                  <c:v>171284.72517206674</c:v>
                </c:pt>
                <c:pt idx="42">
                  <c:v>170620.35881840283</c:v>
                </c:pt>
                <c:pt idx="43">
                  <c:v>169910.42385160946</c:v>
                </c:pt>
                <c:pt idx="44">
                  <c:v>169152.40500788964</c:v>
                </c:pt>
                <c:pt idx="45">
                  <c:v>168343.74066178841</c:v>
                </c:pt>
                <c:pt idx="46">
                  <c:v>167481.83732707347</c:v>
                </c:pt>
                <c:pt idx="47">
                  <c:v>166564.08678300536</c:v>
                </c:pt>
                <c:pt idx="48">
                  <c:v>165587.88599696403</c:v>
                </c:pt>
                <c:pt idx="49">
                  <c:v>164550.6599824194</c:v>
                </c:pt>
                <c:pt idx="50">
                  <c:v>163449.88768728587</c:v>
                </c:pt>
                <c:pt idx="51">
                  <c:v>162283.13095041158</c:v>
                </c:pt>
                <c:pt idx="52">
                  <c:v>161048.06649221914</c:v>
                </c:pt>
                <c:pt idx="53">
                  <c:v>159742.52081867171</c:v>
                </c:pt>
                <c:pt idx="54">
                  <c:v>158364.5078157332</c:v>
                </c:pt>
                <c:pt idx="55">
                  <c:v>156912.26869508115</c:v>
                </c:pt>
                <c:pt idx="56">
                  <c:v>155384.31382278132</c:v>
                </c:pt>
                <c:pt idx="57">
                  <c:v>153779.46582390161</c:v>
                </c:pt>
                <c:pt idx="58">
                  <c:v>152096.90321192227</c:v>
                </c:pt>
                <c:pt idx="59">
                  <c:v>150336.20364800157</c:v>
                </c:pt>
                <c:pt idx="60">
                  <c:v>148497.38579879733</c:v>
                </c:pt>
                <c:pt idx="61">
                  <c:v>146580.94864099784</c:v>
                </c:pt>
                <c:pt idx="62">
                  <c:v>144587.90696532806</c:v>
                </c:pt>
                <c:pt idx="63">
                  <c:v>142519.82177241603</c:v>
                </c:pt>
                <c:pt idx="64">
                  <c:v>140378.82423725282</c:v>
                </c:pt>
                <c:pt idx="65">
                  <c:v>138167.63195686019</c:v>
                </c:pt>
                <c:pt idx="66">
                  <c:v>135889.55629418965</c:v>
                </c:pt>
                <c:pt idx="67">
                  <c:v>133548.49979445653</c:v>
                </c:pt>
                <c:pt idx="68">
                  <c:v>131148.94287868551</c:v>
                </c:pt>
                <c:pt idx="69">
                  <c:v>128695.91930948416</c:v>
                </c:pt>
                <c:pt idx="70">
                  <c:v>126194.98026748117</c:v>
                </c:pt>
                <c:pt idx="71">
                  <c:v>123652.14726017076</c:v>
                </c:pt>
                <c:pt idx="72">
                  <c:v>121073.85449042862</c:v>
                </c:pt>
                <c:pt idx="73">
                  <c:v>118466.88171859831</c:v>
                </c:pt>
                <c:pt idx="74">
                  <c:v>115838.27903663355</c:v>
                </c:pt>
                <c:pt idx="75">
                  <c:v>113195.28531187079</c:v>
                </c:pt>
                <c:pt idx="76">
                  <c:v>110545.24232981788</c:v>
                </c:pt>
                <c:pt idx="77">
                  <c:v>107895.50685171595</c:v>
                </c:pt>
                <c:pt idx="78">
                  <c:v>105253.36289072974</c:v>
                </c:pt>
                <c:pt idx="79">
                  <c:v>102625.93649421306</c:v>
                </c:pt>
                <c:pt idx="80">
                  <c:v>100020.115199582</c:v>
                </c:pt>
                <c:pt idx="81">
                  <c:v>97442.474116092213</c:v>
                </c:pt>
                <c:pt idx="82">
                  <c:v>94899.210288853501</c:v>
                </c:pt>
                <c:pt idx="83">
                  <c:v>92396.086644351075</c:v>
                </c:pt>
                <c:pt idx="84">
                  <c:v>89938.386421431045</c:v>
                </c:pt>
                <c:pt idx="85">
                  <c:v>87530.878582183388</c:v>
                </c:pt>
                <c:pt idx="86">
                  <c:v>85177.794296645094</c:v>
                </c:pt>
                <c:pt idx="87">
                  <c:v>82882.814224390007</c:v>
                </c:pt>
                <c:pt idx="88">
                  <c:v>80649.065991573749</c:v>
                </c:pt>
                <c:pt idx="89">
                  <c:v>78479.130995780637</c:v>
                </c:pt>
                <c:pt idx="90">
                  <c:v>76375.059469891872</c:v>
                </c:pt>
                <c:pt idx="91">
                  <c:v>74338.39260205903</c:v>
                </c:pt>
                <c:pt idx="92">
                  <c:v>72370.190439281039</c:v>
                </c:pt>
                <c:pt idx="93">
                  <c:v>70471.064291119692</c:v>
                </c:pt>
                <c:pt idx="94">
                  <c:v>68641.212389336491</c:v>
                </c:pt>
                <c:pt idx="95">
                  <c:v>66880.457638817505</c:v>
                </c:pt>
                <c:pt idx="96">
                  <c:v>65188.286404675302</c:v>
                </c:pt>
                <c:pt idx="97">
                  <c:v>63563.887409750758</c:v>
                </c:pt>
                <c:pt idx="98">
                  <c:v>62006.189956628223</c:v>
                </c:pt>
                <c:pt idx="99">
                  <c:v>60513.900830751365</c:v>
                </c:pt>
                <c:pt idx="100">
                  <c:v>59085.53937980708</c:v>
                </c:pt>
                <c:pt idx="101">
                  <c:v>57719.470394313139</c:v>
                </c:pt>
                <c:pt idx="102">
                  <c:v>56413.934531877341</c:v>
                </c:pt>
                <c:pt idx="103">
                  <c:v>55167.07613081015</c:v>
                </c:pt>
                <c:pt idx="104">
                  <c:v>53976.96834672671</c:v>
                </c:pt>
                <c:pt idx="105">
                  <c:v>52841.63561844021</c:v>
                </c:pt>
                <c:pt idx="106">
                  <c:v>51759.073527487926</c:v>
                </c:pt>
                <c:pt idx="107">
                  <c:v>50727.266160186948</c:v>
                </c:pt>
                <c:pt idx="108">
                  <c:v>49744.201113632196</c:v>
                </c:pt>
                <c:pt idx="109">
                  <c:v>48807.882309118853</c:v>
                </c:pt>
                <c:pt idx="110">
                  <c:v>47916.340789723698</c:v>
                </c:pt>
                <c:pt idx="111">
                  <c:v>47067.643684791437</c:v>
                </c:pt>
                <c:pt idx="112">
                  <c:v>46259.901524308356</c:v>
                </c:pt>
                <c:pt idx="113">
                  <c:v>45491.274081924152</c:v>
                </c:pt>
                <c:pt idx="114">
                  <c:v>44759.974917855456</c:v>
                </c:pt>
                <c:pt idx="115">
                  <c:v>44064.274783052148</c:v>
                </c:pt>
                <c:pt idx="116">
                  <c:v>43402.504034645506</c:v>
                </c:pt>
                <c:pt idx="117">
                  <c:v>42773.054200486746</c:v>
                </c:pt>
                <c:pt idx="118">
                  <c:v>42174.378818048492</c:v>
                </c:pt>
                <c:pt idx="119">
                  <c:v>41604.993660501263</c:v>
                </c:pt>
                <c:pt idx="120">
                  <c:v>41063.476450690861</c:v>
                </c:pt>
                <c:pt idx="121">
                  <c:v>40548.466152241803</c:v>
                </c:pt>
                <c:pt idx="122">
                  <c:v>40058.661916237899</c:v>
                </c:pt>
                <c:pt idx="123">
                  <c:v>39592.821751968797</c:v>
                </c:pt>
                <c:pt idx="124">
                  <c:v>39149.760981121159</c:v>
                </c:pt>
                <c:pt idx="125">
                  <c:v>38728.350526542308</c:v>
                </c:pt>
                <c:pt idx="126">
                  <c:v>38327.515079295357</c:v>
                </c:pt>
                <c:pt idx="127">
                  <c:v>37946.231181122435</c:v>
                </c:pt>
                <c:pt idx="128">
                  <c:v>37583.525253590029</c:v>
                </c:pt>
                <c:pt idx="129">
                  <c:v>37238.471600053024</c:v>
                </c:pt>
                <c:pt idx="130">
                  <c:v>36910.19040208411</c:v>
                </c:pt>
                <c:pt idx="131">
                  <c:v>36597.845728113345</c:v>
                </c:pt>
                <c:pt idx="132">
                  <c:v>36300.643568650739</c:v>
                </c:pt>
                <c:pt idx="133">
                  <c:v>36017.82990956663</c:v>
                </c:pt>
                <c:pt idx="134">
                  <c:v>35748.688852426996</c:v>
                </c:pt>
                <c:pt idx="135">
                  <c:v>35492.540788774946</c:v>
                </c:pt>
                <c:pt idx="136">
                  <c:v>35248.740633469395</c:v>
                </c:pt>
                <c:pt idx="137">
                  <c:v>35016.676120696626</c:v>
                </c:pt>
                <c:pt idx="138">
                  <c:v>34795.766165022564</c:v>
                </c:pt>
                <c:pt idx="139">
                  <c:v>34585.45928881954</c:v>
                </c:pt>
                <c:pt idx="140">
                  <c:v>34385.232116552012</c:v>
                </c:pt>
                <c:pt idx="141">
                  <c:v>34194.587935714131</c:v>
                </c:pt>
                <c:pt idx="142">
                  <c:v>34013.055323655819</c:v>
                </c:pt>
                <c:pt idx="143">
                  <c:v>33840.186839092159</c:v>
                </c:pt>
                <c:pt idx="144">
                  <c:v>33675.557776746478</c:v>
                </c:pt>
                <c:pt idx="145">
                  <c:v>33518.764983314708</c:v>
                </c:pt>
                <c:pt idx="146">
                  <c:v>33369.425732744196</c:v>
                </c:pt>
                <c:pt idx="147">
                  <c:v>33227.176658683136</c:v>
                </c:pt>
                <c:pt idx="148">
                  <c:v>33091.672741866714</c:v>
                </c:pt>
                <c:pt idx="149">
                  <c:v>32962.586350155121</c:v>
                </c:pt>
                <c:pt idx="150">
                  <c:v>32839.606328919253</c:v>
                </c:pt>
                <c:pt idx="151">
                  <c:v>32722.43713947626</c:v>
                </c:pt>
                <c:pt idx="152">
                  <c:v>32610.798043303814</c:v>
                </c:pt>
                <c:pt idx="153">
                  <c:v>32504.422329805111</c:v>
                </c:pt>
                <c:pt idx="154">
                  <c:v>32403.056585451875</c:v>
                </c:pt>
                <c:pt idx="155">
                  <c:v>32306.460002197662</c:v>
                </c:pt>
                <c:pt idx="156">
                  <c:v>32214.403723125513</c:v>
                </c:pt>
                <c:pt idx="157">
                  <c:v>32126.670223370649</c:v>
                </c:pt>
                <c:pt idx="158">
                  <c:v>32043.05272443853</c:v>
                </c:pt>
                <c:pt idx="159">
                  <c:v>31963.354640120066</c:v>
                </c:pt>
                <c:pt idx="160">
                  <c:v>31887.389052287519</c:v>
                </c:pt>
                <c:pt idx="161">
                  <c:v>31814.978214936244</c:v>
                </c:pt>
                <c:pt idx="162">
                  <c:v>31745.953084917699</c:v>
                </c:pt>
                <c:pt idx="163">
                  <c:v>31680.152877887835</c:v>
                </c:pt>
                <c:pt idx="164">
                  <c:v>31617.42464807157</c:v>
                </c:pt>
                <c:pt idx="165">
                  <c:v>31557.622890518076</c:v>
                </c:pt>
                <c:pt idx="166">
                  <c:v>31500.609164593057</c:v>
                </c:pt>
                <c:pt idx="167">
                  <c:v>31446.251737522758</c:v>
                </c:pt>
                <c:pt idx="168">
                  <c:v>31394.425246870043</c:v>
                </c:pt>
                <c:pt idx="169">
                  <c:v>31345.010380885564</c:v>
                </c:pt>
                <c:pt idx="170">
                  <c:v>31297.893575736678</c:v>
                </c:pt>
                <c:pt idx="171">
                  <c:v>31252.966728673418</c:v>
                </c:pt>
                <c:pt idx="172">
                  <c:v>31210.126926244699</c:v>
                </c:pt>
                <c:pt idx="173">
                  <c:v>31169.276186728755</c:v>
                </c:pt>
                <c:pt idx="174">
                  <c:v>31130.321215990098</c:v>
                </c:pt>
                <c:pt idx="175">
                  <c:v>31093.173176020726</c:v>
                </c:pt>
                <c:pt idx="176">
                  <c:v>31057.747465466313</c:v>
                </c:pt>
                <c:pt idx="177">
                  <c:v>31023.963511478636</c:v>
                </c:pt>
                <c:pt idx="178">
                  <c:v>30991.744572273652</c:v>
                </c:pt>
                <c:pt idx="179">
                  <c:v>30961.017549810633</c:v>
                </c:pt>
                <c:pt idx="180">
                  <c:v>30931.712812041584</c:v>
                </c:pt>
                <c:pt idx="181">
                  <c:v>30903.764024212018</c:v>
                </c:pt>
                <c:pt idx="182">
                  <c:v>30877.107988724139</c:v>
                </c:pt>
                <c:pt idx="183">
                  <c:v>30851.684493101628</c:v>
                </c:pt>
                <c:pt idx="184">
                  <c:v>30827.436165621675</c:v>
                </c:pt>
                <c:pt idx="185">
                  <c:v>30804.308338204861</c:v>
                </c:pt>
                <c:pt idx="186">
                  <c:v>30782.248916176784</c:v>
                </c:pt>
                <c:pt idx="187">
                  <c:v>30761.208254537352</c:v>
                </c:pt>
                <c:pt idx="188">
                  <c:v>30741.13904039433</c:v>
                </c:pt>
                <c:pt idx="189">
                  <c:v>30721.996181237078</c:v>
                </c:pt>
                <c:pt idx="190">
                  <c:v>30703.736698744724</c:v>
                </c:pt>
                <c:pt idx="191">
                  <c:v>30686.319627840094</c:v>
                </c:pt>
                <c:pt idx="192">
                  <c:v>30669.705920716879</c:v>
                </c:pt>
                <c:pt idx="193">
                  <c:v>30653.858355582666</c:v>
                </c:pt>
                <c:pt idx="194">
                  <c:v>30638.741449874651</c:v>
                </c:pt>
                <c:pt idx="195">
                  <c:v>30624.321377718345</c:v>
                </c:pt>
                <c:pt idx="196">
                  <c:v>30610.565891412083</c:v>
                </c:pt>
                <c:pt idx="197">
                  <c:v>30597.444246732084</c:v>
                </c:pt>
                <c:pt idx="198">
                  <c:v>30584.927131863915</c:v>
                </c:pt>
                <c:pt idx="199">
                  <c:v>30572.986599776759</c:v>
                </c:pt>
                <c:pt idx="200">
                  <c:v>30561.596003866736</c:v>
                </c:pt>
                <c:pt idx="201">
                  <c:v>30550.729936704884</c:v>
                </c:pt>
                <c:pt idx="202">
                  <c:v>30540.364171734145</c:v>
                </c:pt>
                <c:pt idx="203">
                  <c:v>30530.47560776801</c:v>
                </c:pt>
                <c:pt idx="204">
                  <c:v>30521.04221615124</c:v>
                </c:pt>
                <c:pt idx="205">
                  <c:v>30512.042990450456</c:v>
                </c:pt>
                <c:pt idx="206">
                  <c:v>30503.457898549321</c:v>
                </c:pt>
                <c:pt idx="207">
                  <c:v>30495.267837029565</c:v>
                </c:pt>
                <c:pt idx="208">
                  <c:v>30487.454587725319</c:v>
                </c:pt>
                <c:pt idx="209">
                  <c:v>30480.000776343979</c:v>
                </c:pt>
                <c:pt idx="210">
                  <c:v>30472.889833052446</c:v>
                </c:pt>
                <c:pt idx="211">
                  <c:v>30466.105954932635</c:v>
                </c:pt>
                <c:pt idx="212">
                  <c:v>30459.634070215227</c:v>
                </c:pt>
                <c:pt idx="213">
                  <c:v>30453.459804205144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D8-4A37-9A0F-B4021C8119D8}"/>
            </c:ext>
          </c:extLst>
        </c:ser>
        <c:ser>
          <c:idx val="3"/>
          <c:order val="3"/>
          <c:tx>
            <c:v>Infected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Epidemic!$H$6:$H$219</c:f>
              <c:numCache>
                <c:formatCode>0</c:formatCode>
                <c:ptCount val="214"/>
                <c:pt idx="0" formatCode="General">
                  <c:v>212</c:v>
                </c:pt>
                <c:pt idx="1">
                  <c:v>228.94052332852331</c:v>
                </c:pt>
                <c:pt idx="2">
                  <c:v>247.22854936252645</c:v>
                </c:pt>
                <c:pt idx="3">
                  <c:v>266.9702345047985</c:v>
                </c:pt>
                <c:pt idx="4">
                  <c:v>288.27992715848507</c:v>
                </c:pt>
                <c:pt idx="5">
                  <c:v>311.28077137779496</c:v>
                </c:pt>
                <c:pt idx="6">
                  <c:v>336.10535019669788</c:v>
                </c:pt>
                <c:pt idx="7">
                  <c:v>362.89637040966642</c:v>
                </c:pt>
                <c:pt idx="8">
                  <c:v>391.80739049899222</c:v>
                </c:pt>
                <c:pt idx="9">
                  <c:v>423.00359328367256</c:v>
                </c:pt>
                <c:pt idx="10">
                  <c:v>456.66260469735295</c:v>
                </c:pt>
                <c:pt idx="11">
                  <c:v>492.97535987813205</c:v>
                </c:pt>
                <c:pt idx="12">
                  <c:v>532.1470174606211</c:v>
                </c:pt>
                <c:pt idx="13">
                  <c:v>574.39792258842351</c:v>
                </c:pt>
                <c:pt idx="14">
                  <c:v>619.96461869939105</c:v>
                </c:pt>
                <c:pt idx="15">
                  <c:v>669.100907561025</c:v>
                </c:pt>
                <c:pt idx="16">
                  <c:v>722.07895633161615</c:v>
                </c:pt>
                <c:pt idx="17">
                  <c:v>779.19044957442384</c:v>
                </c:pt>
                <c:pt idx="18">
                  <c:v>840.74778313537172</c:v>
                </c:pt>
                <c:pt idx="19">
                  <c:v>907.08529558502846</c:v>
                </c:pt>
                <c:pt idx="20">
                  <c:v>978.56053149629224</c:v>
                </c:pt>
                <c:pt idx="21">
                  <c:v>1055.5555291510875</c:v>
                </c:pt>
                <c:pt idx="22">
                  <c:v>1138.4781233111676</c:v>
                </c:pt>
                <c:pt idx="23">
                  <c:v>1227.7632514164595</c:v>
                </c:pt>
                <c:pt idx="24">
                  <c:v>1323.8742489544345</c:v>
                </c:pt>
                <c:pt idx="25">
                  <c:v>1427.3041167399481</c:v>
                </c:pt>
                <c:pt idx="26">
                  <c:v>1538.5767394211503</c:v>
                </c:pt>
                <c:pt idx="27">
                  <c:v>1658.2480306489331</c:v>
                </c:pt>
                <c:pt idx="28">
                  <c:v>1786.9069759834836</c:v>
                </c:pt>
                <c:pt idx="29">
                  <c:v>1925.1765397354893</c:v>
                </c:pt>
                <c:pt idx="30">
                  <c:v>2073.7143965329724</c:v>
                </c:pt>
                <c:pt idx="31">
                  <c:v>2233.2134424605647</c:v>
                </c:pt>
                <c:pt idx="32">
                  <c:v>2404.4020341449041</c:v>
                </c:pt>
                <c:pt idx="33">
                  <c:v>2588.0438971871276</c:v>
                </c:pt>
                <c:pt idx="34">
                  <c:v>2784.9376379275027</c:v>
                </c:pt>
                <c:pt idx="35">
                  <c:v>2995.9157847584679</c:v>
                </c:pt>
                <c:pt idx="36">
                  <c:v>3221.8432772132969</c:v>
                </c:pt>
                <c:pt idx="37">
                  <c:v>3463.6153130321859</c:v>
                </c:pt>
                <c:pt idx="38">
                  <c:v>3722.154455590859</c:v>
                </c:pt>
                <c:pt idx="39">
                  <c:v>3998.4068967854619</c:v>
                </c:pt>
                <c:pt idx="40">
                  <c:v>4293.3377641002289</c:v>
                </c:pt>
                <c:pt idx="41">
                  <c:v>4607.9253556314943</c:v>
                </c:pt>
                <c:pt idx="42">
                  <c:v>4943.1541838931662</c:v>
                </c:pt>
                <c:pt idx="43">
                  <c:v>5300.0067089798968</c:v>
                </c:pt>
                <c:pt idx="44">
                  <c:v>5679.4536449154402</c:v>
                </c:pt>
                <c:pt idx="45">
                  <c:v>6082.4427306655762</c:v>
                </c:pt>
                <c:pt idx="46">
                  <c:v>6509.8858703329724</c:v>
                </c:pt>
                <c:pt idx="47">
                  <c:v>6962.6445665201609</c:v>
                </c:pt>
                <c:pt idx="48">
                  <c:v>7441.5135978100379</c:v>
                </c:pt>
                <c:pt idx="49">
                  <c:v>7947.2029267968128</c:v>
                </c:pt>
                <c:pt idx="50">
                  <c:v>8480.3178700162825</c:v>
                </c:pt>
                <c:pt idx="51">
                  <c:v>9041.337616175113</c:v>
                </c:pt>
                <c:pt idx="52">
                  <c:v>9630.5922446407676</c:v>
                </c:pt>
                <c:pt idx="53">
                  <c:v>10248.238472142437</c:v>
                </c:pt>
                <c:pt idx="54">
                  <c:v>10894.234441356466</c:v>
                </c:pt>
                <c:pt idx="55">
                  <c:v>11568.313959054474</c:v>
                </c:pt>
                <c:pt idx="56">
                  <c:v>12269.960691421855</c:v>
                </c:pt>
                <c:pt idx="57">
                  <c:v>12998.382926628567</c:v>
                </c:pt>
                <c:pt idx="58">
                  <c:v>13752.489615277302</c:v>
                </c:pt>
                <c:pt idx="59">
                  <c:v>14530.868492392485</c:v>
                </c:pt>
                <c:pt idx="60">
                  <c:v>15331.767163568698</c:v>
                </c:pt>
                <c:pt idx="61">
                  <c:v>16153.078095398996</c:v>
                </c:pt>
                <c:pt idx="62">
                  <c:v>16992.328478540283</c:v>
                </c:pt>
                <c:pt idx="63">
                  <c:v>17846.675922985138</c:v>
                </c:pt>
                <c:pt idx="64">
                  <c:v>18712.910892220851</c:v>
                </c:pt>
                <c:pt idx="65">
                  <c:v>19587.466680311991</c:v>
                </c:pt>
                <c:pt idx="66">
                  <c:v>20466.437580103109</c:v>
                </c:pt>
                <c:pt idx="67">
                  <c:v>21345.605681257432</c:v>
                </c:pt>
                <c:pt idx="68">
                  <c:v>22220.476476938624</c:v>
                </c:pt>
                <c:pt idx="69">
                  <c:v>23086.323154930069</c:v>
                </c:pt>
                <c:pt idx="70">
                  <c:v>23938.239114438056</c:v>
                </c:pt>
                <c:pt idx="71">
                  <c:v>24771.197899288596</c:v>
                </c:pt>
                <c:pt idx="72">
                  <c:v>25580.119390510125</c:v>
                </c:pt>
                <c:pt idx="73">
                  <c:v>26359.940777304004</c:v>
                </c:pt>
                <c:pt idx="74">
                  <c:v>27105.690546604186</c:v>
                </c:pt>
                <c:pt idx="75">
                  <c:v>27812.563518038089</c:v>
                </c:pt>
                <c:pt idx="76">
                  <c:v>28475.994820231128</c:v>
                </c:pt>
                <c:pt idx="77">
                  <c:v>29091.730668316544</c:v>
                </c:pt>
                <c:pt idx="78">
                  <c:v>29655.893867280149</c:v>
                </c:pt>
                <c:pt idx="79">
                  <c:v>30165.042130419664</c:v>
                </c:pt>
                <c:pt idx="80">
                  <c:v>30616.217558592187</c:v>
                </c:pt>
                <c:pt idx="81">
                  <c:v>31006.985959325379</c:v>
                </c:pt>
                <c:pt idx="82">
                  <c:v>31335.465075183714</c:v>
                </c:pt>
                <c:pt idx="83">
                  <c:v>31600.341214315878</c:v>
                </c:pt>
                <c:pt idx="84">
                  <c:v>31800.874207641911</c:v>
                </c:pt>
                <c:pt idx="85">
                  <c:v>31936.891032058003</c:v>
                </c:pt>
                <c:pt idx="86">
                  <c:v>32008.768815306437</c:v>
                </c:pt>
                <c:pt idx="87">
                  <c:v>32017.408257896775</c:v>
                </c:pt>
                <c:pt idx="88">
                  <c:v>31964.198758006118</c:v>
                </c:pt>
                <c:pt idx="89">
                  <c:v>31850.976699655934</c:v>
                </c:pt>
                <c:pt idx="90">
                  <c:v>31679.978461283561</c:v>
                </c:pt>
                <c:pt idx="91">
                  <c:v>31453.789724739014</c:v>
                </c:pt>
                <c:pt idx="92">
                  <c:v>31175.292621464221</c:v>
                </c:pt>
                <c:pt idx="93">
                  <c:v>30847.612153806695</c:v>
                </c:pt>
                <c:pt idx="94">
                  <c:v>30474.063187460841</c:v>
                </c:pt>
                <c:pt idx="95">
                  <c:v>30058.099138875485</c:v>
                </c:pt>
                <c:pt idx="96">
                  <c:v>29603.263291669442</c:v>
                </c:pt>
                <c:pt idx="97">
                  <c:v>29113.143480046168</c:v>
                </c:pt>
                <c:pt idx="98">
                  <c:v>28591.330684593981</c:v>
                </c:pt>
                <c:pt idx="99">
                  <c:v>28041.38190442841</c:v>
                </c:pt>
                <c:pt idx="100">
                  <c:v>27466.787505056378</c:v>
                </c:pt>
                <c:pt idx="101">
                  <c:v>26870.943097332005</c:v>
                </c:pt>
                <c:pt idx="102">
                  <c:v>26257.125881386946</c:v>
                </c:pt>
                <c:pt idx="103">
                  <c:v>25628.475290926501</c:v>
                </c:pt>
                <c:pt idx="104">
                  <c:v>24987.977697086622</c:v>
                </c:pt>
                <c:pt idx="105">
                  <c:v>24338.454875581217</c:v>
                </c:pt>
                <c:pt idx="106">
                  <c:v>23682.555903991986</c:v>
                </c:pt>
                <c:pt idx="107">
                  <c:v>23022.75213529354</c:v>
                </c:pt>
                <c:pt idx="108">
                  <c:v>22361.334886470184</c:v>
                </c:pt>
                <c:pt idx="109">
                  <c:v>21700.415484807087</c:v>
                </c:pt>
                <c:pt idx="110">
                  <c:v>21041.927326716021</c:v>
                </c:pt>
                <c:pt idx="111">
                  <c:v>20387.629622597135</c:v>
                </c:pt>
                <c:pt idx="112">
                  <c:v>19739.112524323278</c:v>
                </c:pt>
                <c:pt idx="113">
                  <c:v>19097.803357827252</c:v>
                </c:pt>
                <c:pt idx="114">
                  <c:v>18464.973710622573</c:v>
                </c:pt>
                <c:pt idx="115">
                  <c:v>17841.747151809981</c:v>
                </c:pt>
                <c:pt idx="116">
                  <c:v>17229.107389373054</c:v>
                </c:pt>
                <c:pt idx="117">
                  <c:v>16627.906695719452</c:v>
                </c:pt>
                <c:pt idx="118">
                  <c:v>16038.874457034886</c:v>
                </c:pt>
                <c:pt idx="119">
                  <c:v>15462.625724793912</c:v>
                </c:pt>
                <c:pt idx="120">
                  <c:v>14899.669668547604</c:v>
                </c:pt>
                <c:pt idx="121">
                  <c:v>14350.417847814688</c:v>
                </c:pt>
                <c:pt idx="122">
                  <c:v>13815.192237546116</c:v>
                </c:pt>
                <c:pt idx="123">
                  <c:v>13294.232956276212</c:v>
                </c:pt>
                <c:pt idx="124">
                  <c:v>12787.705658818406</c:v>
                </c:pt>
                <c:pt idx="125">
                  <c:v>12295.708566338795</c:v>
                </c:pt>
                <c:pt idx="126">
                  <c:v>11818.279115990119</c:v>
                </c:pt>
                <c:pt idx="127">
                  <c:v>11355.400220163749</c:v>
                </c:pt>
                <c:pt idx="128">
                  <c:v>10907.006131970176</c:v>
                </c:pt>
                <c:pt idx="129">
                  <c:v>10472.987918937884</c:v>
                </c:pt>
                <c:pt idx="130">
                  <c:v>10053.198551268375</c:v>
                </c:pt>
                <c:pt idx="131">
                  <c:v>9647.4576144342591</c:v>
                </c:pt>
                <c:pt idx="132">
                  <c:v>9255.5556585801332</c:v>
                </c:pt>
                <c:pt idx="133">
                  <c:v>8877.258199194237</c:v>
                </c:pt>
                <c:pt idx="134">
                  <c:v>8512.3093849628531</c:v>
                </c:pt>
                <c:pt idx="135">
                  <c:v>8160.4353496889817</c:v>
                </c:pt>
                <c:pt idx="136">
                  <c:v>7821.3472657310358</c:v>
                </c:pt>
                <c:pt idx="137">
                  <c:v>7494.7441166658728</c:v>
                </c:pt>
                <c:pt idx="138">
                  <c:v>7180.315206863801</c:v>
                </c:pt>
                <c:pt idx="139">
                  <c:v>6877.7424254336929</c:v>
                </c:pt>
                <c:pt idx="140">
                  <c:v>6586.7022815988148</c:v>
                </c:pt>
                <c:pt idx="141">
                  <c:v>6306.8677280367765</c:v>
                </c:pt>
                <c:pt idx="142">
                  <c:v>6037.9097880924583</c:v>
                </c:pt>
                <c:pt idx="143">
                  <c:v>5779.4990020780888</c:v>
                </c:pt>
                <c:pt idx="144">
                  <c:v>5531.3067071324776</c:v>
                </c:pt>
                <c:pt idx="145">
                  <c:v>5293.0061643405015</c:v>
                </c:pt>
                <c:pt idx="146">
                  <c:v>5064.2735460295471</c:v>
                </c:pt>
                <c:pt idx="147">
                  <c:v>4844.7887953742065</c:v>
                </c:pt>
                <c:pt idx="148">
                  <c:v>4634.2363696638977</c:v>
                </c:pt>
                <c:pt idx="149">
                  <c:v>4432.3058778280711</c:v>
                </c:pt>
                <c:pt idx="150">
                  <c:v>4238.692622076217</c:v>
                </c:pt>
                <c:pt idx="151">
                  <c:v>4053.0980527994816</c:v>
                </c:pt>
                <c:pt idx="152">
                  <c:v>3875.2301452005349</c:v>
                </c:pt>
                <c:pt idx="153">
                  <c:v>3704.8037054706269</c:v>
                </c:pt>
                <c:pt idx="154">
                  <c:v>3541.5406137188179</c:v>
                </c:pt>
                <c:pt idx="155">
                  <c:v>3385.1700102788309</c:v>
                </c:pt>
                <c:pt idx="156">
                  <c:v>3235.4284314739198</c:v>
                </c:pt>
                <c:pt idx="157">
                  <c:v>3092.0599004092192</c:v>
                </c:pt>
                <c:pt idx="158">
                  <c:v>2954.8159778835352</c:v>
                </c:pt>
                <c:pt idx="159">
                  <c:v>2823.4557780674613</c:v>
                </c:pt>
                <c:pt idx="160">
                  <c:v>2697.7459531809045</c:v>
                </c:pt>
                <c:pt idx="161">
                  <c:v>2577.4606510192571</c:v>
                </c:pt>
                <c:pt idx="162">
                  <c:v>2462.3814488221424</c:v>
                </c:pt>
                <c:pt idx="163">
                  <c:v>2352.2972666504256</c:v>
                </c:pt>
                <c:pt idx="164">
                  <c:v>2247.0042631345177</c:v>
                </c:pt>
                <c:pt idx="165">
                  <c:v>2146.3057161784036</c:v>
                </c:pt>
                <c:pt idx="166">
                  <c:v>2050.0118909478215</c:v>
                </c:pt>
                <c:pt idx="167">
                  <c:v>1957.9398972361337</c:v>
                </c:pt>
                <c:pt idx="168">
                  <c:v>1869.913538086269</c:v>
                </c:pt>
                <c:pt idx="169">
                  <c:v>1785.763151350299</c:v>
                </c:pt>
                <c:pt idx="170">
                  <c:v>1705.3254456884506</c:v>
                </c:pt>
                <c:pt idx="171">
                  <c:v>1628.4433323453927</c:v>
                </c:pt>
                <c:pt idx="172">
                  <c:v>1554.9657538923</c:v>
                </c:pt>
                <c:pt idx="173">
                  <c:v>1484.7475109873662</c:v>
                </c:pt>
                <c:pt idx="174">
                  <c:v>1417.6490880840674</c:v>
                </c:pt>
                <c:pt idx="175">
                  <c:v>1353.5364789045761</c:v>
                </c:pt>
                <c:pt idx="176">
                  <c:v>1292.2810123943755</c:v>
                </c:pt>
                <c:pt idx="177">
                  <c:v>1233.7591797824555</c:v>
                </c:pt>
                <c:pt idx="178">
                  <c:v>1177.852463288694</c:v>
                </c:pt>
                <c:pt idx="179">
                  <c:v>1124.4471669453778</c:v>
                </c:pt>
                <c:pt idx="180">
                  <c:v>1073.4342499326144</c:v>
                </c:pt>
                <c:pt idx="181">
                  <c:v>1024.709162766994</c:v>
                </c:pt>
                <c:pt idx="182">
                  <c:v>978.17168662865811</c:v>
                </c:pt>
                <c:pt idx="183">
                  <c:v>933.72577606340985</c:v>
                </c:pt>
                <c:pt idx="184">
                  <c:v>891.27940525311988</c:v>
                </c:pt>
                <c:pt idx="185">
                  <c:v>850.74441800899569</c:v>
                </c:pt>
                <c:pt idx="186">
                  <c:v>812.03638160785897</c:v>
                </c:pt>
                <c:pt idx="187">
                  <c:v>775.07444456101484</c:v>
                </c:pt>
                <c:pt idx="188">
                  <c:v>739.78119837825102</c:v>
                </c:pt>
                <c:pt idx="189">
                  <c:v>706.08254336562788</c:v>
                </c:pt>
                <c:pt idx="190">
                  <c:v>673.90755847472315</c:v>
                </c:pt>
                <c:pt idx="191">
                  <c:v>643.18837520258842</c:v>
                </c:pt>
                <c:pt idx="192">
                  <c:v>613.8600555256171</c:v>
                </c:pt>
                <c:pt idx="193">
                  <c:v>585.86047383657217</c:v>
                </c:pt>
                <c:pt idx="194">
                  <c:v>559.1302028419741</c:v>
                </c:pt>
                <c:pt idx="195">
                  <c:v>533.61240336671028</c:v>
                </c:pt>
                <c:pt idx="196">
                  <c:v>509.25271800392119</c:v>
                </c:pt>
                <c:pt idx="197">
                  <c:v>485.99916854078373</c:v>
                </c:pt>
                <c:pt idx="198">
                  <c:v>463.80205708461102</c:v>
                </c:pt>
                <c:pt idx="199">
                  <c:v>442.6138708085806</c:v>
                </c:pt>
                <c:pt idx="200">
                  <c:v>422.38919023227533</c:v>
                </c:pt>
                <c:pt idx="201">
                  <c:v>403.08460094896401</c:v>
                </c:pt>
                <c:pt idx="202">
                  <c:v>384.6586087090613</c:v>
                </c:pt>
                <c:pt idx="203">
                  <c:v>367.0715577674053</c:v>
                </c:pt>
                <c:pt idx="204">
                  <c:v>350.28555240078958</c:v>
                </c:pt>
                <c:pt idx="205">
                  <c:v>334.26438150151802</c:v>
                </c:pt>
                <c:pt idx="206">
                  <c:v>318.9734461525465</c:v>
                </c:pt>
                <c:pt idx="207">
                  <c:v>304.37969008997715</c:v>
                </c:pt>
                <c:pt idx="208">
                  <c:v>290.4515329592262</c:v>
                </c:pt>
                <c:pt idx="209">
                  <c:v>277.15880627204808</c:v>
                </c:pt>
                <c:pt idx="210">
                  <c:v>264.47269197272169</c:v>
                </c:pt>
                <c:pt idx="211">
                  <c:v>252.36566352305266</c:v>
                </c:pt>
                <c:pt idx="212">
                  <c:v>240.81142941738506</c:v>
                </c:pt>
                <c:pt idx="213">
                  <c:v>229.78487904051232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D8-4A37-9A0F-B4021C8119D8}"/>
            </c:ext>
          </c:extLst>
        </c:ser>
        <c:ser>
          <c:idx val="4"/>
          <c:order val="4"/>
          <c:tx>
            <c:v>Recovered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Epidemic!$B$6:$B$219</c:f>
              <c:numCache>
                <c:formatCode>m/d/yyyy</c:formatCode>
                <c:ptCount val="214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  <c:pt idx="31">
                  <c:v>44014</c:v>
                </c:pt>
                <c:pt idx="32">
                  <c:v>44015</c:v>
                </c:pt>
                <c:pt idx="33">
                  <c:v>44016</c:v>
                </c:pt>
                <c:pt idx="34">
                  <c:v>44017</c:v>
                </c:pt>
                <c:pt idx="35">
                  <c:v>44018</c:v>
                </c:pt>
                <c:pt idx="36">
                  <c:v>44019</c:v>
                </c:pt>
                <c:pt idx="37">
                  <c:v>44020</c:v>
                </c:pt>
                <c:pt idx="38">
                  <c:v>44021</c:v>
                </c:pt>
                <c:pt idx="39">
                  <c:v>44022</c:v>
                </c:pt>
                <c:pt idx="40">
                  <c:v>44023</c:v>
                </c:pt>
                <c:pt idx="41">
                  <c:v>44024</c:v>
                </c:pt>
                <c:pt idx="42">
                  <c:v>44025</c:v>
                </c:pt>
                <c:pt idx="43">
                  <c:v>44026</c:v>
                </c:pt>
                <c:pt idx="44">
                  <c:v>44027</c:v>
                </c:pt>
                <c:pt idx="45">
                  <c:v>44028</c:v>
                </c:pt>
                <c:pt idx="46">
                  <c:v>44029</c:v>
                </c:pt>
                <c:pt idx="47">
                  <c:v>44030</c:v>
                </c:pt>
                <c:pt idx="48">
                  <c:v>44031</c:v>
                </c:pt>
                <c:pt idx="49">
                  <c:v>44032</c:v>
                </c:pt>
                <c:pt idx="50">
                  <c:v>44033</c:v>
                </c:pt>
                <c:pt idx="51">
                  <c:v>44034</c:v>
                </c:pt>
                <c:pt idx="52">
                  <c:v>44035</c:v>
                </c:pt>
                <c:pt idx="53">
                  <c:v>44036</c:v>
                </c:pt>
                <c:pt idx="54">
                  <c:v>44037</c:v>
                </c:pt>
                <c:pt idx="55">
                  <c:v>44038</c:v>
                </c:pt>
                <c:pt idx="56">
                  <c:v>44039</c:v>
                </c:pt>
                <c:pt idx="57">
                  <c:v>44040</c:v>
                </c:pt>
                <c:pt idx="58">
                  <c:v>44041</c:v>
                </c:pt>
                <c:pt idx="59">
                  <c:v>44042</c:v>
                </c:pt>
                <c:pt idx="60">
                  <c:v>44043</c:v>
                </c:pt>
                <c:pt idx="61">
                  <c:v>44044</c:v>
                </c:pt>
                <c:pt idx="62">
                  <c:v>44045</c:v>
                </c:pt>
                <c:pt idx="63">
                  <c:v>44046</c:v>
                </c:pt>
                <c:pt idx="64">
                  <c:v>44047</c:v>
                </c:pt>
                <c:pt idx="65">
                  <c:v>44048</c:v>
                </c:pt>
                <c:pt idx="66">
                  <c:v>44049</c:v>
                </c:pt>
                <c:pt idx="67">
                  <c:v>44050</c:v>
                </c:pt>
                <c:pt idx="68">
                  <c:v>44051</c:v>
                </c:pt>
                <c:pt idx="69">
                  <c:v>44052</c:v>
                </c:pt>
                <c:pt idx="70">
                  <c:v>44053</c:v>
                </c:pt>
                <c:pt idx="71">
                  <c:v>44054</c:v>
                </c:pt>
                <c:pt idx="72">
                  <c:v>44055</c:v>
                </c:pt>
                <c:pt idx="73">
                  <c:v>44056</c:v>
                </c:pt>
                <c:pt idx="74">
                  <c:v>44057</c:v>
                </c:pt>
                <c:pt idx="75">
                  <c:v>44058</c:v>
                </c:pt>
                <c:pt idx="76">
                  <c:v>44059</c:v>
                </c:pt>
                <c:pt idx="77">
                  <c:v>44060</c:v>
                </c:pt>
                <c:pt idx="78">
                  <c:v>44061</c:v>
                </c:pt>
                <c:pt idx="79">
                  <c:v>44062</c:v>
                </c:pt>
                <c:pt idx="80">
                  <c:v>44063</c:v>
                </c:pt>
                <c:pt idx="81">
                  <c:v>44064</c:v>
                </c:pt>
                <c:pt idx="82">
                  <c:v>44065</c:v>
                </c:pt>
                <c:pt idx="83">
                  <c:v>44066</c:v>
                </c:pt>
                <c:pt idx="84">
                  <c:v>44067</c:v>
                </c:pt>
                <c:pt idx="85">
                  <c:v>44068</c:v>
                </c:pt>
                <c:pt idx="86">
                  <c:v>44069</c:v>
                </c:pt>
                <c:pt idx="87">
                  <c:v>44070</c:v>
                </c:pt>
                <c:pt idx="88">
                  <c:v>44071</c:v>
                </c:pt>
                <c:pt idx="89">
                  <c:v>44072</c:v>
                </c:pt>
                <c:pt idx="90">
                  <c:v>44073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44079</c:v>
                </c:pt>
                <c:pt idx="97">
                  <c:v>44080</c:v>
                </c:pt>
                <c:pt idx="98">
                  <c:v>44081</c:v>
                </c:pt>
                <c:pt idx="99">
                  <c:v>44082</c:v>
                </c:pt>
                <c:pt idx="100">
                  <c:v>44083</c:v>
                </c:pt>
                <c:pt idx="101">
                  <c:v>44084</c:v>
                </c:pt>
                <c:pt idx="102">
                  <c:v>44085</c:v>
                </c:pt>
                <c:pt idx="103">
                  <c:v>44086</c:v>
                </c:pt>
                <c:pt idx="104">
                  <c:v>44087</c:v>
                </c:pt>
                <c:pt idx="105">
                  <c:v>44088</c:v>
                </c:pt>
                <c:pt idx="106">
                  <c:v>44089</c:v>
                </c:pt>
                <c:pt idx="107">
                  <c:v>44090</c:v>
                </c:pt>
                <c:pt idx="108">
                  <c:v>44091</c:v>
                </c:pt>
                <c:pt idx="109">
                  <c:v>44092</c:v>
                </c:pt>
                <c:pt idx="110">
                  <c:v>44093</c:v>
                </c:pt>
                <c:pt idx="111">
                  <c:v>44094</c:v>
                </c:pt>
                <c:pt idx="112">
                  <c:v>44095</c:v>
                </c:pt>
                <c:pt idx="113">
                  <c:v>44096</c:v>
                </c:pt>
                <c:pt idx="114">
                  <c:v>44097</c:v>
                </c:pt>
                <c:pt idx="115">
                  <c:v>44098</c:v>
                </c:pt>
                <c:pt idx="116">
                  <c:v>44099</c:v>
                </c:pt>
                <c:pt idx="117">
                  <c:v>44100</c:v>
                </c:pt>
                <c:pt idx="118">
                  <c:v>44101</c:v>
                </c:pt>
                <c:pt idx="119">
                  <c:v>44102</c:v>
                </c:pt>
                <c:pt idx="120">
                  <c:v>44103</c:v>
                </c:pt>
                <c:pt idx="121">
                  <c:v>44104</c:v>
                </c:pt>
                <c:pt idx="122">
                  <c:v>44105</c:v>
                </c:pt>
                <c:pt idx="123">
                  <c:v>44106</c:v>
                </c:pt>
                <c:pt idx="124">
                  <c:v>44107</c:v>
                </c:pt>
                <c:pt idx="125">
                  <c:v>44108</c:v>
                </c:pt>
                <c:pt idx="126">
                  <c:v>44109</c:v>
                </c:pt>
                <c:pt idx="127">
                  <c:v>44110</c:v>
                </c:pt>
                <c:pt idx="128">
                  <c:v>44111</c:v>
                </c:pt>
                <c:pt idx="129">
                  <c:v>44112</c:v>
                </c:pt>
                <c:pt idx="130">
                  <c:v>44113</c:v>
                </c:pt>
                <c:pt idx="131">
                  <c:v>44114</c:v>
                </c:pt>
                <c:pt idx="132">
                  <c:v>44115</c:v>
                </c:pt>
                <c:pt idx="133">
                  <c:v>44116</c:v>
                </c:pt>
                <c:pt idx="134">
                  <c:v>44117</c:v>
                </c:pt>
                <c:pt idx="135">
                  <c:v>44118</c:v>
                </c:pt>
                <c:pt idx="136">
                  <c:v>44119</c:v>
                </c:pt>
                <c:pt idx="137">
                  <c:v>44120</c:v>
                </c:pt>
                <c:pt idx="138">
                  <c:v>44121</c:v>
                </c:pt>
                <c:pt idx="139">
                  <c:v>44122</c:v>
                </c:pt>
                <c:pt idx="140">
                  <c:v>44123</c:v>
                </c:pt>
                <c:pt idx="141">
                  <c:v>44124</c:v>
                </c:pt>
                <c:pt idx="142">
                  <c:v>44125</c:v>
                </c:pt>
                <c:pt idx="143">
                  <c:v>44126</c:v>
                </c:pt>
                <c:pt idx="144">
                  <c:v>44127</c:v>
                </c:pt>
                <c:pt idx="145">
                  <c:v>44128</c:v>
                </c:pt>
                <c:pt idx="146">
                  <c:v>44129</c:v>
                </c:pt>
                <c:pt idx="147">
                  <c:v>44130</c:v>
                </c:pt>
                <c:pt idx="148">
                  <c:v>44131</c:v>
                </c:pt>
                <c:pt idx="149">
                  <c:v>44132</c:v>
                </c:pt>
                <c:pt idx="150">
                  <c:v>44133</c:v>
                </c:pt>
                <c:pt idx="151">
                  <c:v>44134</c:v>
                </c:pt>
                <c:pt idx="152">
                  <c:v>44135</c:v>
                </c:pt>
                <c:pt idx="153">
                  <c:v>44136</c:v>
                </c:pt>
                <c:pt idx="154">
                  <c:v>44137</c:v>
                </c:pt>
                <c:pt idx="155">
                  <c:v>44138</c:v>
                </c:pt>
                <c:pt idx="156">
                  <c:v>44139</c:v>
                </c:pt>
                <c:pt idx="157">
                  <c:v>44140</c:v>
                </c:pt>
                <c:pt idx="158">
                  <c:v>44141</c:v>
                </c:pt>
                <c:pt idx="159">
                  <c:v>44142</c:v>
                </c:pt>
                <c:pt idx="160">
                  <c:v>44143</c:v>
                </c:pt>
                <c:pt idx="161">
                  <c:v>44144</c:v>
                </c:pt>
                <c:pt idx="162">
                  <c:v>44145</c:v>
                </c:pt>
                <c:pt idx="163">
                  <c:v>44146</c:v>
                </c:pt>
                <c:pt idx="164">
                  <c:v>44147</c:v>
                </c:pt>
                <c:pt idx="165">
                  <c:v>44148</c:v>
                </c:pt>
                <c:pt idx="166">
                  <c:v>44149</c:v>
                </c:pt>
                <c:pt idx="167">
                  <c:v>44150</c:v>
                </c:pt>
                <c:pt idx="168">
                  <c:v>44151</c:v>
                </c:pt>
                <c:pt idx="169">
                  <c:v>44152</c:v>
                </c:pt>
                <c:pt idx="170">
                  <c:v>44153</c:v>
                </c:pt>
                <c:pt idx="171">
                  <c:v>44154</c:v>
                </c:pt>
                <c:pt idx="172">
                  <c:v>44155</c:v>
                </c:pt>
                <c:pt idx="173">
                  <c:v>44156</c:v>
                </c:pt>
                <c:pt idx="174">
                  <c:v>44157</c:v>
                </c:pt>
                <c:pt idx="175">
                  <c:v>44158</c:v>
                </c:pt>
                <c:pt idx="176">
                  <c:v>44159</c:v>
                </c:pt>
                <c:pt idx="177">
                  <c:v>44160</c:v>
                </c:pt>
                <c:pt idx="178">
                  <c:v>44161</c:v>
                </c:pt>
                <c:pt idx="179">
                  <c:v>44162</c:v>
                </c:pt>
                <c:pt idx="180">
                  <c:v>44163</c:v>
                </c:pt>
                <c:pt idx="181">
                  <c:v>44164</c:v>
                </c:pt>
                <c:pt idx="182">
                  <c:v>44165</c:v>
                </c:pt>
                <c:pt idx="183">
                  <c:v>44166</c:v>
                </c:pt>
                <c:pt idx="184">
                  <c:v>44167</c:v>
                </c:pt>
                <c:pt idx="185">
                  <c:v>44168</c:v>
                </c:pt>
                <c:pt idx="186">
                  <c:v>44169</c:v>
                </c:pt>
                <c:pt idx="187">
                  <c:v>44170</c:v>
                </c:pt>
                <c:pt idx="188">
                  <c:v>44171</c:v>
                </c:pt>
                <c:pt idx="189">
                  <c:v>44172</c:v>
                </c:pt>
                <c:pt idx="190">
                  <c:v>44173</c:v>
                </c:pt>
                <c:pt idx="191">
                  <c:v>44174</c:v>
                </c:pt>
                <c:pt idx="192">
                  <c:v>44175</c:v>
                </c:pt>
                <c:pt idx="193">
                  <c:v>44176</c:v>
                </c:pt>
                <c:pt idx="194">
                  <c:v>44177</c:v>
                </c:pt>
                <c:pt idx="195">
                  <c:v>44178</c:v>
                </c:pt>
                <c:pt idx="196">
                  <c:v>44179</c:v>
                </c:pt>
                <c:pt idx="197">
                  <c:v>44180</c:v>
                </c:pt>
                <c:pt idx="198">
                  <c:v>44181</c:v>
                </c:pt>
                <c:pt idx="199">
                  <c:v>44182</c:v>
                </c:pt>
                <c:pt idx="200">
                  <c:v>44183</c:v>
                </c:pt>
                <c:pt idx="201">
                  <c:v>44184</c:v>
                </c:pt>
                <c:pt idx="202">
                  <c:v>44185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44190</c:v>
                </c:pt>
                <c:pt idx="208">
                  <c:v>44191</c:v>
                </c:pt>
                <c:pt idx="209">
                  <c:v>44192</c:v>
                </c:pt>
                <c:pt idx="210">
                  <c:v>44193</c:v>
                </c:pt>
                <c:pt idx="211">
                  <c:v>44194</c:v>
                </c:pt>
                <c:pt idx="212">
                  <c:v>44195</c:v>
                </c:pt>
                <c:pt idx="213">
                  <c:v>44196</c:v>
                </c:pt>
              </c:numCache>
            </c:numRef>
          </c:cat>
          <c:val>
            <c:numRef>
              <c:f>Epidemic!$I$6:$I$219</c:f>
              <c:numCache>
                <c:formatCode>0</c:formatCode>
                <c:ptCount val="214"/>
                <c:pt idx="0" formatCode="General">
                  <c:v>0</c:v>
                </c:pt>
                <c:pt idx="1">
                  <c:v>15.142857142857142</c:v>
                </c:pt>
                <c:pt idx="2">
                  <c:v>31.495751666323091</c:v>
                </c:pt>
                <c:pt idx="3">
                  <c:v>49.154933763646412</c:v>
                </c:pt>
                <c:pt idx="4">
                  <c:v>68.224236228274876</c:v>
                </c:pt>
                <c:pt idx="5">
                  <c:v>88.815659596738101</c:v>
                </c:pt>
                <c:pt idx="6">
                  <c:v>111.05000040943774</c:v>
                </c:pt>
                <c:pt idx="7">
                  <c:v>135.05752542348759</c:v>
                </c:pt>
                <c:pt idx="8">
                  <c:v>160.97869473846376</c:v>
                </c:pt>
                <c:pt idx="9">
                  <c:v>188.96493691696321</c:v>
                </c:pt>
                <c:pt idx="10">
                  <c:v>219.17947929436838</c:v>
                </c:pt>
                <c:pt idx="11">
                  <c:v>251.79823677275073</c:v>
                </c:pt>
                <c:pt idx="12">
                  <c:v>287.01076247833157</c:v>
                </c:pt>
                <c:pt idx="13">
                  <c:v>325.02126372551879</c:v>
                </c:pt>
                <c:pt idx="14">
                  <c:v>366.04968676754902</c:v>
                </c:pt>
                <c:pt idx="15">
                  <c:v>410.33287381750552</c:v>
                </c:pt>
                <c:pt idx="16">
                  <c:v>458.12579578615015</c:v>
                </c:pt>
                <c:pt idx="17">
                  <c:v>509.70286409555132</c:v>
                </c:pt>
                <c:pt idx="18">
                  <c:v>565.35932477943879</c:v>
                </c:pt>
                <c:pt idx="19">
                  <c:v>625.41273786053682</c:v>
                </c:pt>
                <c:pt idx="20">
                  <c:v>690.20454468803882</c:v>
                </c:pt>
                <c:pt idx="21">
                  <c:v>760.10172550920254</c:v>
                </c:pt>
                <c:pt idx="22">
                  <c:v>835.49854901999447</c:v>
                </c:pt>
                <c:pt idx="23">
                  <c:v>916.81841497079211</c:v>
                </c:pt>
                <c:pt idx="24">
                  <c:v>1004.5157900719678</c:v>
                </c:pt>
                <c:pt idx="25">
                  <c:v>1099.0782364258559</c:v>
                </c:pt>
                <c:pt idx="26">
                  <c:v>1201.0285304787094</c:v>
                </c:pt>
                <c:pt idx="27">
                  <c:v>1310.9268690087915</c:v>
                </c:pt>
                <c:pt idx="28">
                  <c:v>1429.3731569122867</c:v>
                </c:pt>
                <c:pt idx="29">
                  <c:v>1557.0093694825355</c:v>
                </c:pt>
                <c:pt idx="30">
                  <c:v>1694.5219794636419</c:v>
                </c:pt>
                <c:pt idx="31">
                  <c:v>1842.6444363588541</c:v>
                </c:pt>
                <c:pt idx="32">
                  <c:v>2002.1596822488946</c:v>
                </c:pt>
                <c:pt idx="33">
                  <c:v>2173.9026846878164</c:v>
                </c:pt>
                <c:pt idx="34">
                  <c:v>2358.7629630583256</c:v>
                </c:pt>
                <c:pt idx="35">
                  <c:v>2557.6870800531474</c:v>
                </c:pt>
                <c:pt idx="36">
                  <c:v>2771.6810646787521</c:v>
                </c:pt>
                <c:pt idx="37">
                  <c:v>3001.8127273368445</c:v>
                </c:pt>
                <c:pt idx="38">
                  <c:v>3249.213821124858</c:v>
                </c:pt>
                <c:pt idx="39">
                  <c:v>3515.0819965242049</c:v>
                </c:pt>
                <c:pt idx="40">
                  <c:v>3800.6824891517381</c:v>
                </c:pt>
                <c:pt idx="41">
                  <c:v>4107.3494723017548</c:v>
                </c:pt>
                <c:pt idx="42">
                  <c:v>4436.4869977040044</c:v>
                </c:pt>
                <c:pt idx="43">
                  <c:v>4789.5694394106595</c:v>
                </c:pt>
                <c:pt idx="44">
                  <c:v>5168.1413471949381</c:v>
                </c:pt>
                <c:pt idx="45">
                  <c:v>5573.8166075460413</c:v>
                </c:pt>
                <c:pt idx="46">
                  <c:v>6008.276802593582</c:v>
                </c:pt>
                <c:pt idx="47">
                  <c:v>6473.2686504745088</c:v>
                </c:pt>
                <c:pt idx="48">
                  <c:v>6970.6004052259486</c:v>
                </c:pt>
                <c:pt idx="49">
                  <c:v>7502.1370907838082</c:v>
                </c:pt>
                <c:pt idx="50">
                  <c:v>8069.7944426978665</c:v>
                </c:pt>
                <c:pt idx="51">
                  <c:v>8675.5314334133145</c:v>
                </c:pt>
                <c:pt idx="52">
                  <c:v>9321.3412631401079</c:v>
                </c:pt>
                <c:pt idx="53">
                  <c:v>10009.240709185877</c:v>
                </c:pt>
                <c:pt idx="54">
                  <c:v>10741.257742910337</c:v>
                </c:pt>
                <c:pt idx="55">
                  <c:v>11519.417345864371</c:v>
                </c:pt>
                <c:pt idx="56">
                  <c:v>12345.725485796833</c:v>
                </c:pt>
                <c:pt idx="57">
                  <c:v>13222.151249469822</c:v>
                </c:pt>
                <c:pt idx="58">
                  <c:v>14150.607172800434</c:v>
                </c:pt>
                <c:pt idx="59">
                  <c:v>15132.927859605956</c:v>
                </c:pt>
                <c:pt idx="60">
                  <c:v>16170.84703763399</c:v>
                </c:pt>
                <c:pt idx="61">
                  <c:v>17265.973263603184</c:v>
                </c:pt>
                <c:pt idx="62">
                  <c:v>18419.764556131682</c:v>
                </c:pt>
                <c:pt idx="63">
                  <c:v>19633.502304598846</c:v>
                </c:pt>
                <c:pt idx="64">
                  <c:v>20908.264870526356</c:v>
                </c:pt>
                <c:pt idx="65">
                  <c:v>22244.901362827844</c:v>
                </c:pt>
                <c:pt idx="66">
                  <c:v>23644.006125707274</c:v>
                </c:pt>
                <c:pt idx="67">
                  <c:v>25105.894524286068</c:v>
                </c:pt>
                <c:pt idx="68">
                  <c:v>26630.580644375885</c:v>
                </c:pt>
                <c:pt idx="69">
                  <c:v>28217.757535585788</c:v>
                </c:pt>
                <c:pt idx="70">
                  <c:v>29866.780618080793</c:v>
                </c:pt>
                <c:pt idx="71">
                  <c:v>31576.654840540654</c:v>
                </c:pt>
                <c:pt idx="72">
                  <c:v>33346.026119061265</c:v>
                </c:pt>
                <c:pt idx="73">
                  <c:v>35173.177504097701</c:v>
                </c:pt>
                <c:pt idx="74">
                  <c:v>37056.030416762274</c:v>
                </c:pt>
                <c:pt idx="75">
                  <c:v>38992.151170091143</c:v>
                </c:pt>
                <c:pt idx="76">
                  <c:v>40978.76284995101</c:v>
                </c:pt>
                <c:pt idx="77">
                  <c:v>43012.762479967518</c:v>
                </c:pt>
                <c:pt idx="78">
                  <c:v>45090.743241990131</c:v>
                </c:pt>
                <c:pt idx="79">
                  <c:v>47209.021375367287</c:v>
                </c:pt>
                <c:pt idx="80">
                  <c:v>49363.667241825831</c:v>
                </c:pt>
                <c:pt idx="81">
                  <c:v>51550.539924582416</c:v>
                </c:pt>
                <c:pt idx="82">
                  <c:v>53765.324635962803</c:v>
                </c:pt>
                <c:pt idx="83">
                  <c:v>56003.572141333068</c:v>
                </c:pt>
                <c:pt idx="84">
                  <c:v>58260.739370927062</c:v>
                </c:pt>
                <c:pt idx="85">
                  <c:v>60532.230385758623</c:v>
                </c:pt>
                <c:pt idx="86">
                  <c:v>62813.436888048484</c:v>
                </c:pt>
                <c:pt idx="87">
                  <c:v>65099.777517713228</c:v>
                </c:pt>
                <c:pt idx="88">
                  <c:v>67386.735250420141</c:v>
                </c:pt>
                <c:pt idx="89">
                  <c:v>69669.892304563429</c:v>
                </c:pt>
                <c:pt idx="90">
                  <c:v>71944.962068824563</c:v>
                </c:pt>
                <c:pt idx="91">
                  <c:v>74207.817673201964</c:v>
                </c:pt>
                <c:pt idx="92">
                  <c:v>76454.516939254754</c:v>
                </c:pt>
                <c:pt idx="93">
                  <c:v>78681.323555073628</c:v>
                </c:pt>
                <c:pt idx="94">
                  <c:v>80884.724423202671</c:v>
                </c:pt>
                <c:pt idx="95">
                  <c:v>83061.443222307018</c:v>
                </c:pt>
                <c:pt idx="96">
                  <c:v>85208.450303655263</c:v>
                </c:pt>
                <c:pt idx="97">
                  <c:v>87322.969110203077</c:v>
                </c:pt>
                <c:pt idx="98">
                  <c:v>89402.479358777797</c:v>
                </c:pt>
                <c:pt idx="99">
                  <c:v>91444.717264820225</c:v>
                </c:pt>
                <c:pt idx="100">
                  <c:v>93447.673115136538</c:v>
                </c:pt>
                <c:pt idx="101">
                  <c:v>95409.586508354856</c:v>
                </c:pt>
                <c:pt idx="102">
                  <c:v>97328.939586735709</c:v>
                </c:pt>
                <c:pt idx="103">
                  <c:v>99204.448578263342</c:v>
                </c:pt>
                <c:pt idx="104">
                  <c:v>101035.05395618666</c:v>
                </c:pt>
                <c:pt idx="105">
                  <c:v>102819.90950597856</c:v>
                </c:pt>
                <c:pt idx="106">
                  <c:v>104558.37056852008</c:v>
                </c:pt>
                <c:pt idx="107">
                  <c:v>106249.98170451951</c:v>
                </c:pt>
                <c:pt idx="108">
                  <c:v>107894.46399989762</c:v>
                </c:pt>
                <c:pt idx="109">
                  <c:v>109491.70220607406</c:v>
                </c:pt>
                <c:pt idx="110">
                  <c:v>111041.73188356028</c:v>
                </c:pt>
                <c:pt idx="111">
                  <c:v>112544.72669261142</c:v>
                </c:pt>
                <c:pt idx="112">
                  <c:v>114000.98595136836</c:v>
                </c:pt>
                <c:pt idx="113">
                  <c:v>115410.9225602486</c:v>
                </c:pt>
                <c:pt idx="114">
                  <c:v>116775.05137152197</c:v>
                </c:pt>
                <c:pt idx="115">
                  <c:v>118093.97806513787</c:v>
                </c:pt>
                <c:pt idx="116">
                  <c:v>119368.38857598144</c:v>
                </c:pt>
                <c:pt idx="117">
                  <c:v>120599.03910379381</c:v>
                </c:pt>
                <c:pt idx="118">
                  <c:v>121786.74672491662</c:v>
                </c:pt>
                <c:pt idx="119">
                  <c:v>122932.38061470483</c:v>
                </c:pt>
                <c:pt idx="120">
                  <c:v>124036.85388076154</c:v>
                </c:pt>
                <c:pt idx="121">
                  <c:v>125101.11599994352</c:v>
                </c:pt>
                <c:pt idx="122">
                  <c:v>126126.14584621599</c:v>
                </c:pt>
                <c:pt idx="123">
                  <c:v>127112.94529175501</c:v>
                </c:pt>
                <c:pt idx="124">
                  <c:v>128062.53336006045</c:v>
                </c:pt>
                <c:pt idx="125">
                  <c:v>128975.9409071189</c:v>
                </c:pt>
                <c:pt idx="126">
                  <c:v>129854.20580471453</c:v>
                </c:pt>
                <c:pt idx="127">
                  <c:v>130698.36859871382</c:v>
                </c:pt>
                <c:pt idx="128">
                  <c:v>131509.4686144398</c:v>
                </c:pt>
                <c:pt idx="129">
                  <c:v>132288.54048100908</c:v>
                </c:pt>
                <c:pt idx="130">
                  <c:v>133036.61104664751</c:v>
                </c:pt>
                <c:pt idx="131">
                  <c:v>133754.69665745238</c:v>
                </c:pt>
                <c:pt idx="132">
                  <c:v>134443.80077276911</c:v>
                </c:pt>
                <c:pt idx="133">
                  <c:v>135104.91189123911</c:v>
                </c:pt>
                <c:pt idx="134">
                  <c:v>135739.00176261013</c:v>
                </c:pt>
                <c:pt idx="135">
                  <c:v>136347.02386153606</c:v>
                </c:pt>
                <c:pt idx="136">
                  <c:v>136929.91210079956</c:v>
                </c:pt>
                <c:pt idx="137">
                  <c:v>137488.5797626375</c:v>
                </c:pt>
                <c:pt idx="138">
                  <c:v>138023.91862811364</c:v>
                </c:pt>
                <c:pt idx="139">
                  <c:v>138536.79828574677</c:v>
                </c:pt>
                <c:pt idx="140">
                  <c:v>139028.06560184917</c:v>
                </c:pt>
                <c:pt idx="141">
                  <c:v>139498.54433624909</c:v>
                </c:pt>
                <c:pt idx="142">
                  <c:v>139949.03488825171</c:v>
                </c:pt>
                <c:pt idx="143">
                  <c:v>140380.31415882974</c:v>
                </c:pt>
                <c:pt idx="144">
                  <c:v>140793.13551612102</c:v>
                </c:pt>
                <c:pt idx="145">
                  <c:v>141188.22885234476</c:v>
                </c:pt>
                <c:pt idx="146">
                  <c:v>141566.30072122623</c:v>
                </c:pt>
                <c:pt idx="147">
                  <c:v>141928.03454594262</c:v>
                </c:pt>
                <c:pt idx="148">
                  <c:v>142274.09088846933</c:v>
                </c:pt>
                <c:pt idx="149">
                  <c:v>142605.10777201675</c:v>
                </c:pt>
                <c:pt idx="150">
                  <c:v>142921.70104900448</c:v>
                </c:pt>
                <c:pt idx="151">
                  <c:v>143224.4648077242</c:v>
                </c:pt>
                <c:pt idx="152">
                  <c:v>143513.9718114956</c:v>
                </c:pt>
                <c:pt idx="153">
                  <c:v>143790.77396472421</c:v>
                </c:pt>
                <c:pt idx="154">
                  <c:v>144055.40280082927</c:v>
                </c:pt>
                <c:pt idx="155">
                  <c:v>144308.36998752347</c:v>
                </c:pt>
                <c:pt idx="156">
                  <c:v>144550.16784540055</c:v>
                </c:pt>
                <c:pt idx="157">
                  <c:v>144781.26987622012</c:v>
                </c:pt>
                <c:pt idx="158">
                  <c:v>145002.13129767793</c:v>
                </c:pt>
                <c:pt idx="159">
                  <c:v>145213.18958181248</c:v>
                </c:pt>
                <c:pt idx="160">
                  <c:v>145414.86499453158</c:v>
                </c:pt>
                <c:pt idx="161">
                  <c:v>145607.56113404452</c:v>
                </c:pt>
                <c:pt idx="162">
                  <c:v>145791.66546626016</c:v>
                </c:pt>
                <c:pt idx="163">
                  <c:v>145967.54985546175</c:v>
                </c:pt>
                <c:pt idx="164">
                  <c:v>146135.57108879392</c:v>
                </c:pt>
                <c:pt idx="165">
                  <c:v>146296.07139330351</c:v>
                </c:pt>
                <c:pt idx="166">
                  <c:v>146449.37894445911</c:v>
                </c:pt>
                <c:pt idx="167">
                  <c:v>146595.8083652411</c:v>
                </c:pt>
                <c:pt idx="168">
                  <c:v>146735.66121504368</c:v>
                </c:pt>
                <c:pt idx="169">
                  <c:v>146869.22646776412</c:v>
                </c:pt>
                <c:pt idx="170">
                  <c:v>146996.78097857485</c:v>
                </c:pt>
                <c:pt idx="171">
                  <c:v>147118.58993898117</c:v>
                </c:pt>
                <c:pt idx="172">
                  <c:v>147234.90731986298</c:v>
                </c:pt>
                <c:pt idx="173">
                  <c:v>147345.97630228385</c:v>
                </c:pt>
                <c:pt idx="174">
                  <c:v>147452.0296959258</c:v>
                </c:pt>
                <c:pt idx="175">
                  <c:v>147553.29034507467</c:v>
                </c:pt>
                <c:pt idx="176">
                  <c:v>147649.97152213927</c:v>
                </c:pt>
                <c:pt idx="177">
                  <c:v>147742.27730873888</c:v>
                </c:pt>
                <c:pt idx="178">
                  <c:v>147830.40296443761</c:v>
                </c:pt>
                <c:pt idx="179">
                  <c:v>147914.53528324395</c:v>
                </c:pt>
                <c:pt idx="180">
                  <c:v>147994.85293802575</c:v>
                </c:pt>
                <c:pt idx="181">
                  <c:v>148071.52681302093</c:v>
                </c:pt>
                <c:pt idx="182">
                  <c:v>148144.72032464715</c:v>
                </c:pt>
                <c:pt idx="183">
                  <c:v>148214.58973083491</c:v>
                </c:pt>
                <c:pt idx="184">
                  <c:v>148281.28442912514</c:v>
                </c:pt>
                <c:pt idx="185">
                  <c:v>148344.94724378607</c:v>
                </c:pt>
                <c:pt idx="186">
                  <c:v>148405.71470221528</c:v>
                </c:pt>
                <c:pt idx="187">
                  <c:v>148463.71730090157</c:v>
                </c:pt>
                <c:pt idx="188">
                  <c:v>148519.07976122736</c:v>
                </c:pt>
                <c:pt idx="189">
                  <c:v>148571.92127539724</c:v>
                </c:pt>
                <c:pt idx="190">
                  <c:v>148622.35574278049</c:v>
                </c:pt>
                <c:pt idx="191">
                  <c:v>148670.49199695725</c:v>
                </c:pt>
                <c:pt idx="192">
                  <c:v>148716.43402375744</c:v>
                </c:pt>
                <c:pt idx="193">
                  <c:v>148760.28117058068</c:v>
                </c:pt>
                <c:pt idx="194">
                  <c:v>148802.12834728329</c:v>
                </c:pt>
                <c:pt idx="195">
                  <c:v>148842.06621891487</c:v>
                </c:pt>
                <c:pt idx="196">
                  <c:v>148880.18139058392</c:v>
                </c:pt>
                <c:pt idx="197">
                  <c:v>148916.55658472705</c:v>
                </c:pt>
                <c:pt idx="198">
                  <c:v>148951.27081105139</c:v>
                </c:pt>
                <c:pt idx="199">
                  <c:v>148984.39952941457</c:v>
                </c:pt>
                <c:pt idx="200">
                  <c:v>149016.01480590089</c:v>
                </c:pt>
                <c:pt idx="201">
                  <c:v>149046.18546234607</c:v>
                </c:pt>
                <c:pt idx="202">
                  <c:v>149074.97721955672</c:v>
                </c:pt>
                <c:pt idx="203">
                  <c:v>149102.45283446452</c:v>
                </c:pt>
                <c:pt idx="204">
                  <c:v>149128.67223144791</c:v>
                </c:pt>
                <c:pt idx="205">
                  <c:v>149153.69262804798</c:v>
                </c:pt>
                <c:pt idx="206">
                  <c:v>149177.56865529809</c:v>
                </c:pt>
                <c:pt idx="207">
                  <c:v>149200.35247288042</c:v>
                </c:pt>
                <c:pt idx="208">
                  <c:v>149222.09387931542</c:v>
                </c:pt>
                <c:pt idx="209">
                  <c:v>149242.84041738394</c:v>
                </c:pt>
                <c:pt idx="210">
                  <c:v>149262.63747497479</c:v>
                </c:pt>
                <c:pt idx="211">
                  <c:v>149281.52838154428</c:v>
                </c:pt>
                <c:pt idx="212">
                  <c:v>149299.55450036735</c:v>
                </c:pt>
                <c:pt idx="213">
                  <c:v>149316.75531675431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D8-4A37-9A0F-B4021C811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309472"/>
        <c:axId val="454310912"/>
      </c:lineChart>
      <c:dateAx>
        <c:axId val="4543094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10912"/>
        <c:crosses val="autoZero"/>
        <c:auto val="1"/>
        <c:lblOffset val="100"/>
        <c:baseTimeUnit val="days"/>
      </c:dateAx>
      <c:valAx>
        <c:axId val="45431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0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464476</xdr:colOff>
      <xdr:row>4</xdr:row>
      <xdr:rowOff>116375</xdr:rowOff>
    </xdr:from>
    <xdr:to>
      <xdr:col>24</xdr:col>
      <xdr:colOff>710118</xdr:colOff>
      <xdr:row>25</xdr:row>
      <xdr:rowOff>79614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1C0859-BE5D-4C4D-936D-869C81F44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200023</xdr:colOff>
      <xdr:row>4</xdr:row>
      <xdr:rowOff>85956</xdr:rowOff>
    </xdr:from>
    <xdr:to>
      <xdr:col>34</xdr:col>
      <xdr:colOff>488895</xdr:colOff>
      <xdr:row>31</xdr:row>
      <xdr:rowOff>5987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0B4C4B-13A2-6053-63A2-74B338AAF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344074</xdr:colOff>
      <xdr:row>28</xdr:row>
      <xdr:rowOff>24929</xdr:rowOff>
    </xdr:from>
    <xdr:to>
      <xdr:col>25</xdr:col>
      <xdr:colOff>11179</xdr:colOff>
      <xdr:row>54</xdr:row>
      <xdr:rowOff>6618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3097DEB-0902-FE1A-F79B-15BFE8A44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338303</xdr:colOff>
      <xdr:row>32</xdr:row>
      <xdr:rowOff>107235</xdr:rowOff>
    </xdr:from>
    <xdr:to>
      <xdr:col>34</xdr:col>
      <xdr:colOff>566351</xdr:colOff>
      <xdr:row>57</xdr:row>
      <xdr:rowOff>144163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11A79-5586-6B90-8356-D1BD9B4D0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1932-D6BB-D149-B8DB-E6CB5D50EB26}">
  <dimension ref="B1:N232"/>
  <sheetViews>
    <sheetView tabSelected="1" topLeftCell="B1" zoomScale="60" zoomScaleNormal="77" workbookViewId="0">
      <selection activeCell="H3" sqref="H3"/>
    </sheetView>
  </sheetViews>
  <sheetFormatPr defaultColWidth="11.19921875" defaultRowHeight="15.6" x14ac:dyDescent="0.3"/>
  <cols>
    <col min="6" max="6" width="11.796875" customWidth="1"/>
    <col min="9" max="10" width="11.296875" bestFit="1" customWidth="1"/>
    <col min="11" max="11" width="11.19921875" customWidth="1"/>
    <col min="12" max="12" width="11.296875" bestFit="1" customWidth="1"/>
    <col min="14" max="14" width="12.5" bestFit="1" customWidth="1"/>
  </cols>
  <sheetData>
    <row r="1" spans="2:14" x14ac:dyDescent="0.3">
      <c r="B1" t="s">
        <v>1</v>
      </c>
      <c r="C1">
        <f>1/G1</f>
        <v>0.15151515151515152</v>
      </c>
      <c r="F1" t="s">
        <v>10</v>
      </c>
      <c r="G1">
        <v>6.6</v>
      </c>
    </row>
    <row r="2" spans="2:14" x14ac:dyDescent="0.3">
      <c r="B2" t="s">
        <v>2</v>
      </c>
      <c r="C2">
        <f>1/14</f>
        <v>7.1428571428571425E-2</v>
      </c>
      <c r="F2" t="s">
        <v>13</v>
      </c>
      <c r="G2">
        <f>C1/C2</f>
        <v>2.1212121212121215</v>
      </c>
    </row>
    <row r="3" spans="2:14" x14ac:dyDescent="0.3">
      <c r="B3" t="s">
        <v>6</v>
      </c>
      <c r="C3">
        <f>180000</f>
        <v>180000</v>
      </c>
      <c r="F3" t="s">
        <v>14</v>
      </c>
      <c r="G3" s="4">
        <v>13473665</v>
      </c>
    </row>
    <row r="5" spans="2:14" x14ac:dyDescent="0.3">
      <c r="B5" t="s">
        <v>0</v>
      </c>
      <c r="C5" t="s">
        <v>11</v>
      </c>
      <c r="D5" t="s">
        <v>25</v>
      </c>
      <c r="E5" t="s">
        <v>12</v>
      </c>
      <c r="G5" t="s">
        <v>3</v>
      </c>
      <c r="H5" t="s">
        <v>4</v>
      </c>
      <c r="I5" t="s">
        <v>5</v>
      </c>
      <c r="J5" t="s">
        <v>7</v>
      </c>
      <c r="K5" t="s">
        <v>8</v>
      </c>
      <c r="L5" t="s">
        <v>9</v>
      </c>
      <c r="N5" t="s">
        <v>27</v>
      </c>
    </row>
    <row r="6" spans="2:14" x14ac:dyDescent="0.3">
      <c r="B6" s="1">
        <v>43983</v>
      </c>
      <c r="C6">
        <v>212</v>
      </c>
      <c r="D6">
        <f>AVERAGE(C6:C9,C6,C6,C6)</f>
        <v>219.57142857142858</v>
      </c>
      <c r="E6">
        <f>C6</f>
        <v>212</v>
      </c>
      <c r="G6">
        <f>C3-H6</f>
        <v>179788</v>
      </c>
      <c r="H6">
        <v>212</v>
      </c>
      <c r="I6">
        <v>0</v>
      </c>
      <c r="J6" s="2">
        <f>-C$1*G6*H6/C$3</f>
        <v>-32.083380471380465</v>
      </c>
      <c r="K6" s="2">
        <f>-J6-L6</f>
        <v>16.940523328523323</v>
      </c>
      <c r="L6" s="2">
        <f>C$2*H6</f>
        <v>15.142857142857142</v>
      </c>
      <c r="N6">
        <f>(C$1*G6*H6)/C$3</f>
        <v>32.083380471380465</v>
      </c>
    </row>
    <row r="7" spans="2:14" x14ac:dyDescent="0.3">
      <c r="B7" s="1">
        <v>43984</v>
      </c>
      <c r="C7">
        <v>163</v>
      </c>
      <c r="D7">
        <f>AVERAGE(C6:C10,C7,C7)</f>
        <v>182.14285714285714</v>
      </c>
      <c r="E7">
        <f t="shared" ref="E7:E70" si="0">C7+E6</f>
        <v>375</v>
      </c>
      <c r="G7" s="2">
        <f>G6+J6</f>
        <v>179755.91661952861</v>
      </c>
      <c r="H7" s="2">
        <f>H6+K6</f>
        <v>228.94052332852331</v>
      </c>
      <c r="I7" s="2">
        <f>I6+L6</f>
        <v>15.142857142857142</v>
      </c>
      <c r="J7" s="2">
        <f t="shared" ref="J7:J70" si="1">-C$1*G7*H7/C$3</f>
        <v>-34.640920557469094</v>
      </c>
      <c r="K7" s="2">
        <f t="shared" ref="K7:K70" si="2">-J7-L7</f>
        <v>18.288026034003146</v>
      </c>
      <c r="L7" s="2">
        <f t="shared" ref="L7:L70" si="3">C$2*H7</f>
        <v>16.352894523465949</v>
      </c>
      <c r="N7">
        <f t="shared" ref="N7:N70" si="4">(C$1*G7*H7)/C$3</f>
        <v>34.640920557469094</v>
      </c>
    </row>
    <row r="8" spans="2:14" x14ac:dyDescent="0.3">
      <c r="B8" s="1">
        <v>43985</v>
      </c>
      <c r="C8">
        <v>260</v>
      </c>
      <c r="D8" s="2">
        <f>AVERAGE(C6:C11,C8)</f>
        <v>214.14285714285714</v>
      </c>
      <c r="E8">
        <f t="shared" si="0"/>
        <v>635</v>
      </c>
      <c r="F8" s="2"/>
      <c r="G8" s="2">
        <f t="shared" ref="G8:G71" si="5">G7+J7</f>
        <v>179721.27569897115</v>
      </c>
      <c r="H8" s="2">
        <f t="shared" ref="H8:H71" si="6">H7+K7</f>
        <v>247.22854936252645</v>
      </c>
      <c r="I8" s="2">
        <f>I7+L7</f>
        <v>31.495751666323091</v>
      </c>
      <c r="J8" s="2">
        <f t="shared" si="1"/>
        <v>-37.400867239595385</v>
      </c>
      <c r="K8" s="2">
        <f>-J8-L8</f>
        <v>19.741685142272068</v>
      </c>
      <c r="L8" s="2">
        <f t="shared" si="3"/>
        <v>17.659182097323317</v>
      </c>
      <c r="N8">
        <f t="shared" si="4"/>
        <v>37.400867239595385</v>
      </c>
    </row>
    <row r="9" spans="2:14" x14ac:dyDescent="0.3">
      <c r="B9" s="1">
        <v>43986</v>
      </c>
      <c r="C9">
        <v>266</v>
      </c>
      <c r="D9" s="2">
        <f t="shared" ref="D9:D72" si="7">AVERAGE(C6:C12)</f>
        <v>201.57142857142858</v>
      </c>
      <c r="E9">
        <f t="shared" si="0"/>
        <v>901</v>
      </c>
      <c r="F9" s="2"/>
      <c r="G9" s="2">
        <f t="shared" si="5"/>
        <v>179683.87483173155</v>
      </c>
      <c r="H9" s="2">
        <f t="shared" si="6"/>
        <v>266.9702345047985</v>
      </c>
      <c r="I9" s="2">
        <f t="shared" ref="I9:I72" si="8">I8+L8</f>
        <v>49.154933763646412</v>
      </c>
      <c r="J9" s="2">
        <f t="shared" si="1"/>
        <v>-40.378995118315011</v>
      </c>
      <c r="K9" s="2">
        <f t="shared" si="2"/>
        <v>21.309692653686547</v>
      </c>
      <c r="L9" s="2">
        <f t="shared" si="3"/>
        <v>19.069302464628464</v>
      </c>
      <c r="N9">
        <f t="shared" si="4"/>
        <v>40.378995118315011</v>
      </c>
    </row>
    <row r="10" spans="2:14" x14ac:dyDescent="0.3">
      <c r="B10" s="1">
        <v>43987</v>
      </c>
      <c r="C10">
        <v>48</v>
      </c>
      <c r="D10" s="2">
        <f t="shared" si="7"/>
        <v>207.71428571428572</v>
      </c>
      <c r="E10">
        <f t="shared" si="0"/>
        <v>949</v>
      </c>
      <c r="F10" s="2"/>
      <c r="G10" s="2">
        <f t="shared" si="5"/>
        <v>179643.49583661323</v>
      </c>
      <c r="H10" s="2">
        <f t="shared" si="6"/>
        <v>288.27992715848507</v>
      </c>
      <c r="I10" s="2">
        <f t="shared" si="8"/>
        <v>68.224236228274876</v>
      </c>
      <c r="J10" s="2">
        <f t="shared" si="1"/>
        <v>-43.592267587773129</v>
      </c>
      <c r="K10" s="2">
        <f t="shared" si="2"/>
        <v>23.000844219309911</v>
      </c>
      <c r="L10" s="2">
        <f t="shared" si="3"/>
        <v>20.591423368463218</v>
      </c>
      <c r="N10">
        <f t="shared" si="4"/>
        <v>43.592267587773129</v>
      </c>
    </row>
    <row r="11" spans="2:14" x14ac:dyDescent="0.3">
      <c r="B11" s="1">
        <v>43988</v>
      </c>
      <c r="C11">
        <v>290</v>
      </c>
      <c r="D11" s="2">
        <f t="shared" si="7"/>
        <v>216.14285714285714</v>
      </c>
      <c r="E11">
        <f t="shared" si="0"/>
        <v>1239</v>
      </c>
      <c r="F11" s="2"/>
      <c r="G11" s="2">
        <f t="shared" si="5"/>
        <v>179599.90356902545</v>
      </c>
      <c r="H11" s="2">
        <f t="shared" si="6"/>
        <v>311.28077137779496</v>
      </c>
      <c r="I11" s="2">
        <f t="shared" si="8"/>
        <v>88.815659596738101</v>
      </c>
      <c r="J11" s="2">
        <f t="shared" si="1"/>
        <v>-47.058919631602556</v>
      </c>
      <c r="K11" s="2">
        <f t="shared" si="2"/>
        <v>24.824578818902918</v>
      </c>
      <c r="L11" s="2">
        <f t="shared" si="3"/>
        <v>22.234340812699639</v>
      </c>
      <c r="N11">
        <f t="shared" si="4"/>
        <v>47.058919631602556</v>
      </c>
    </row>
    <row r="12" spans="2:14" x14ac:dyDescent="0.3">
      <c r="B12" s="1">
        <v>43989</v>
      </c>
      <c r="C12">
        <v>172</v>
      </c>
      <c r="D12" s="2">
        <f t="shared" si="7"/>
        <v>213.28571428571428</v>
      </c>
      <c r="E12">
        <f t="shared" si="0"/>
        <v>1411</v>
      </c>
      <c r="F12" s="2"/>
      <c r="G12" s="2">
        <f t="shared" si="5"/>
        <v>179552.84464939384</v>
      </c>
      <c r="H12" s="2">
        <f t="shared" si="6"/>
        <v>336.10535019669788</v>
      </c>
      <c r="I12" s="2">
        <f t="shared" si="8"/>
        <v>111.05000040943774</v>
      </c>
      <c r="J12" s="2">
        <f t="shared" si="1"/>
        <v>-50.798545227018359</v>
      </c>
      <c r="K12" s="2">
        <f t="shared" si="2"/>
        <v>26.791020212968512</v>
      </c>
      <c r="L12" s="2">
        <f t="shared" si="3"/>
        <v>24.007525014049847</v>
      </c>
      <c r="N12">
        <f t="shared" si="4"/>
        <v>50.798545227018359</v>
      </c>
    </row>
    <row r="13" spans="2:14" x14ac:dyDescent="0.3">
      <c r="B13" s="1">
        <v>43990</v>
      </c>
      <c r="C13">
        <v>255</v>
      </c>
      <c r="D13" s="2">
        <f t="shared" si="7"/>
        <v>201.28571428571428</v>
      </c>
      <c r="E13">
        <f t="shared" si="0"/>
        <v>1666</v>
      </c>
      <c r="F13" s="2"/>
      <c r="G13" s="2">
        <f t="shared" si="5"/>
        <v>179502.04610416683</v>
      </c>
      <c r="H13" s="2">
        <f t="shared" si="6"/>
        <v>362.89637040966642</v>
      </c>
      <c r="I13" s="2">
        <f t="shared" si="8"/>
        <v>135.05752542348759</v>
      </c>
      <c r="J13" s="2">
        <f t="shared" si="1"/>
        <v>-54.832189404301978</v>
      </c>
      <c r="K13" s="2">
        <f t="shared" si="2"/>
        <v>28.911020089325806</v>
      </c>
      <c r="L13" s="2">
        <f t="shared" si="3"/>
        <v>25.921169314976172</v>
      </c>
      <c r="N13">
        <f t="shared" si="4"/>
        <v>54.832189404301978</v>
      </c>
    </row>
    <row r="14" spans="2:14" x14ac:dyDescent="0.3">
      <c r="B14" s="1">
        <v>43991</v>
      </c>
      <c r="C14">
        <v>222</v>
      </c>
      <c r="D14" s="2">
        <f t="shared" si="7"/>
        <v>236.14285714285714</v>
      </c>
      <c r="E14">
        <f t="shared" si="0"/>
        <v>1888</v>
      </c>
      <c r="F14" s="2"/>
      <c r="G14" s="2">
        <f t="shared" si="5"/>
        <v>179447.21391476254</v>
      </c>
      <c r="H14" s="2">
        <f t="shared" si="6"/>
        <v>391.80739049899222</v>
      </c>
      <c r="I14" s="2">
        <f t="shared" si="8"/>
        <v>160.97869473846376</v>
      </c>
      <c r="J14" s="2">
        <f t="shared" si="1"/>
        <v>-59.182444963179769</v>
      </c>
      <c r="K14" s="2">
        <f t="shared" si="2"/>
        <v>31.196202784680327</v>
      </c>
      <c r="L14" s="2">
        <f t="shared" si="3"/>
        <v>27.986242178499442</v>
      </c>
      <c r="N14">
        <f t="shared" si="4"/>
        <v>59.182444963179769</v>
      </c>
    </row>
    <row r="15" spans="2:14" x14ac:dyDescent="0.3">
      <c r="B15" s="1">
        <v>43992</v>
      </c>
      <c r="C15">
        <v>240</v>
      </c>
      <c r="D15" s="2">
        <f t="shared" si="7"/>
        <v>235.71428571428572</v>
      </c>
      <c r="E15">
        <f t="shared" si="0"/>
        <v>2128</v>
      </c>
      <c r="F15" s="2"/>
      <c r="G15" s="2">
        <f t="shared" si="5"/>
        <v>179388.03146979937</v>
      </c>
      <c r="H15" s="2">
        <f t="shared" si="6"/>
        <v>423.00359328367256</v>
      </c>
      <c r="I15" s="2">
        <f t="shared" si="8"/>
        <v>188.96493691696321</v>
      </c>
      <c r="J15" s="2">
        <f t="shared" si="1"/>
        <v>-63.873553791085591</v>
      </c>
      <c r="K15" s="2">
        <f t="shared" si="2"/>
        <v>33.65901141368041</v>
      </c>
      <c r="L15" s="2">
        <f t="shared" si="3"/>
        <v>30.214542377405181</v>
      </c>
      <c r="N15">
        <f t="shared" si="4"/>
        <v>63.873553791085591</v>
      </c>
    </row>
    <row r="16" spans="2:14" x14ac:dyDescent="0.3">
      <c r="B16" s="1">
        <v>43993</v>
      </c>
      <c r="C16">
        <v>182</v>
      </c>
      <c r="D16" s="2">
        <f t="shared" si="7"/>
        <v>248.85714285714286</v>
      </c>
      <c r="E16">
        <f t="shared" si="0"/>
        <v>2310</v>
      </c>
      <c r="F16" s="2"/>
      <c r="G16" s="2">
        <f t="shared" si="5"/>
        <v>179324.15791600829</v>
      </c>
      <c r="H16" s="2">
        <f t="shared" si="6"/>
        <v>456.66260469735295</v>
      </c>
      <c r="I16" s="2">
        <f t="shared" si="8"/>
        <v>219.17947929436838</v>
      </c>
      <c r="J16" s="2">
        <f t="shared" si="1"/>
        <v>-68.931512659161442</v>
      </c>
      <c r="K16" s="2">
        <f t="shared" si="2"/>
        <v>36.312755180779092</v>
      </c>
      <c r="L16" s="2">
        <f t="shared" si="3"/>
        <v>32.618757478382349</v>
      </c>
      <c r="N16">
        <f t="shared" si="4"/>
        <v>68.931512659161442</v>
      </c>
    </row>
    <row r="17" spans="2:14" x14ac:dyDescent="0.3">
      <c r="B17" s="1">
        <v>43994</v>
      </c>
      <c r="C17">
        <v>292</v>
      </c>
      <c r="D17" s="2">
        <f t="shared" si="7"/>
        <v>244</v>
      </c>
      <c r="E17">
        <f t="shared" si="0"/>
        <v>2602</v>
      </c>
      <c r="F17" s="2"/>
      <c r="G17" s="2">
        <f t="shared" si="5"/>
        <v>179255.22640334914</v>
      </c>
      <c r="H17" s="2">
        <f t="shared" si="6"/>
        <v>492.97535987813205</v>
      </c>
      <c r="I17" s="2">
        <f t="shared" si="8"/>
        <v>251.79823677275073</v>
      </c>
      <c r="J17" s="2">
        <f t="shared" si="1"/>
        <v>-74.384183288069934</v>
      </c>
      <c r="K17" s="2">
        <f t="shared" si="2"/>
        <v>39.171657582489075</v>
      </c>
      <c r="L17" s="2">
        <f t="shared" si="3"/>
        <v>35.212525705580859</v>
      </c>
      <c r="N17">
        <f t="shared" si="4"/>
        <v>74.384183288069934</v>
      </c>
    </row>
    <row r="18" spans="2:14" x14ac:dyDescent="0.3">
      <c r="B18" s="1">
        <v>43995</v>
      </c>
      <c r="C18">
        <v>287</v>
      </c>
      <c r="D18" s="2">
        <f t="shared" si="7"/>
        <v>239.71428571428572</v>
      </c>
      <c r="E18">
        <f t="shared" si="0"/>
        <v>2889</v>
      </c>
      <c r="F18" s="2"/>
      <c r="G18" s="2">
        <f t="shared" si="5"/>
        <v>179180.84222006108</v>
      </c>
      <c r="H18" s="2">
        <f t="shared" si="6"/>
        <v>532.1470174606211</v>
      </c>
      <c r="I18" s="2">
        <f t="shared" si="8"/>
        <v>287.01076247833157</v>
      </c>
      <c r="J18" s="2">
        <f t="shared" si="1"/>
        <v>-80.261406374989591</v>
      </c>
      <c r="K18" s="2">
        <f t="shared" si="2"/>
        <v>42.250905127802369</v>
      </c>
      <c r="L18" s="2">
        <f t="shared" si="3"/>
        <v>38.010501247187221</v>
      </c>
      <c r="N18">
        <f t="shared" si="4"/>
        <v>80.261406374989591</v>
      </c>
    </row>
    <row r="19" spans="2:14" x14ac:dyDescent="0.3">
      <c r="B19" s="1">
        <v>43996</v>
      </c>
      <c r="C19">
        <v>264</v>
      </c>
      <c r="D19" s="2">
        <f t="shared" si="7"/>
        <v>233.85714285714286</v>
      </c>
      <c r="E19">
        <f t="shared" si="0"/>
        <v>3153</v>
      </c>
      <c r="F19" s="2"/>
      <c r="G19" s="2">
        <f t="shared" si="5"/>
        <v>179100.5808136861</v>
      </c>
      <c r="H19" s="2">
        <f t="shared" si="6"/>
        <v>574.39792258842351</v>
      </c>
      <c r="I19" s="2">
        <f t="shared" si="8"/>
        <v>325.02126372551879</v>
      </c>
      <c r="J19" s="2">
        <f t="shared" si="1"/>
        <v>-86.595119152997782</v>
      </c>
      <c r="K19" s="2">
        <f t="shared" si="2"/>
        <v>45.566696110967534</v>
      </c>
      <c r="L19" s="2">
        <f t="shared" si="3"/>
        <v>41.028423042030248</v>
      </c>
      <c r="N19">
        <f t="shared" si="4"/>
        <v>86.595119152997782</v>
      </c>
    </row>
    <row r="20" spans="2:14" x14ac:dyDescent="0.3">
      <c r="B20" s="1">
        <v>43997</v>
      </c>
      <c r="C20">
        <v>221</v>
      </c>
      <c r="D20" s="2">
        <f t="shared" si="7"/>
        <v>235</v>
      </c>
      <c r="E20">
        <f t="shared" si="0"/>
        <v>3374</v>
      </c>
      <c r="F20" s="2"/>
      <c r="G20" s="2">
        <f t="shared" si="5"/>
        <v>179013.9856945331</v>
      </c>
      <c r="H20" s="2">
        <f t="shared" si="6"/>
        <v>619.96461869939105</v>
      </c>
      <c r="I20" s="2">
        <f t="shared" si="8"/>
        <v>366.04968676754902</v>
      </c>
      <c r="J20" s="2">
        <f t="shared" si="1"/>
        <v>-93.419475911590453</v>
      </c>
      <c r="K20" s="2">
        <f t="shared" si="2"/>
        <v>49.13628886163395</v>
      </c>
      <c r="L20" s="2">
        <f t="shared" si="3"/>
        <v>44.283187049956503</v>
      </c>
      <c r="N20">
        <f t="shared" si="4"/>
        <v>93.419475911590453</v>
      </c>
    </row>
    <row r="21" spans="2:14" x14ac:dyDescent="0.3">
      <c r="B21" s="1">
        <v>43998</v>
      </c>
      <c r="C21">
        <v>192</v>
      </c>
      <c r="D21" s="2">
        <f t="shared" si="7"/>
        <v>234.28571428571428</v>
      </c>
      <c r="E21">
        <f t="shared" si="0"/>
        <v>3566</v>
      </c>
      <c r="F21" s="2"/>
      <c r="G21" s="2">
        <f>G20+J20</f>
        <v>178920.5662186215</v>
      </c>
      <c r="H21" s="2">
        <f t="shared" si="6"/>
        <v>669.100907561025</v>
      </c>
      <c r="I21" s="2">
        <f t="shared" si="8"/>
        <v>410.33287381750552</v>
      </c>
      <c r="J21" s="2">
        <f t="shared" si="1"/>
        <v>-100.77097073923579</v>
      </c>
      <c r="K21" s="2">
        <f t="shared" si="2"/>
        <v>52.978048770591151</v>
      </c>
      <c r="L21" s="2">
        <f t="shared" si="3"/>
        <v>47.792921968644642</v>
      </c>
      <c r="N21">
        <f t="shared" si="4"/>
        <v>100.77097073923579</v>
      </c>
    </row>
    <row r="22" spans="2:14" x14ac:dyDescent="0.3">
      <c r="B22" s="1">
        <v>43999</v>
      </c>
      <c r="C22">
        <v>199</v>
      </c>
      <c r="D22" s="2">
        <f t="shared" si="7"/>
        <v>236.28571428571428</v>
      </c>
      <c r="E22">
        <f t="shared" si="0"/>
        <v>3765</v>
      </c>
      <c r="F22" s="2"/>
      <c r="G22" s="2">
        <f t="shared" si="5"/>
        <v>178819.79524788226</v>
      </c>
      <c r="H22" s="2">
        <f t="shared" si="6"/>
        <v>722.07895633161615</v>
      </c>
      <c r="I22" s="2">
        <f t="shared" si="8"/>
        <v>458.12579578615015</v>
      </c>
      <c r="J22" s="2">
        <f t="shared" si="1"/>
        <v>-108.68856155220885</v>
      </c>
      <c r="K22" s="2">
        <f t="shared" si="2"/>
        <v>57.111493242807704</v>
      </c>
      <c r="L22" s="2">
        <f t="shared" si="3"/>
        <v>51.577068309401149</v>
      </c>
      <c r="N22">
        <f t="shared" si="4"/>
        <v>108.68856155220885</v>
      </c>
    </row>
    <row r="23" spans="2:14" x14ac:dyDescent="0.3">
      <c r="B23" s="1">
        <v>44000</v>
      </c>
      <c r="C23">
        <v>190</v>
      </c>
      <c r="D23" s="2">
        <f t="shared" si="7"/>
        <v>237</v>
      </c>
      <c r="E23">
        <f t="shared" si="0"/>
        <v>3955</v>
      </c>
      <c r="F23" s="2"/>
      <c r="G23" s="2">
        <f t="shared" si="5"/>
        <v>178711.10668633005</v>
      </c>
      <c r="H23" s="2">
        <f t="shared" si="6"/>
        <v>779.19044957442384</v>
      </c>
      <c r="I23" s="2">
        <f t="shared" si="8"/>
        <v>509.70286409555132</v>
      </c>
      <c r="J23" s="2">
        <f t="shared" si="1"/>
        <v>-117.2137942448353</v>
      </c>
      <c r="K23" s="2">
        <f t="shared" si="2"/>
        <v>61.557333560947882</v>
      </c>
      <c r="L23" s="2">
        <f t="shared" si="3"/>
        <v>55.656460683887417</v>
      </c>
      <c r="N23">
        <f t="shared" si="4"/>
        <v>117.2137942448353</v>
      </c>
    </row>
    <row r="24" spans="2:14" x14ac:dyDescent="0.3">
      <c r="B24" s="1">
        <v>44001</v>
      </c>
      <c r="C24">
        <v>287</v>
      </c>
      <c r="D24" s="2">
        <f t="shared" si="7"/>
        <v>231</v>
      </c>
      <c r="E24">
        <f t="shared" si="0"/>
        <v>4242</v>
      </c>
      <c r="F24" s="2"/>
      <c r="G24" s="2">
        <f t="shared" si="5"/>
        <v>178593.89289208522</v>
      </c>
      <c r="H24" s="2">
        <f t="shared" si="6"/>
        <v>840.74778313537172</v>
      </c>
      <c r="I24" s="2">
        <f t="shared" si="8"/>
        <v>565.35932477943879</v>
      </c>
      <c r="J24" s="2">
        <f t="shared" si="1"/>
        <v>-126.39092553075477</v>
      </c>
      <c r="K24" s="2">
        <f t="shared" si="2"/>
        <v>66.337512449656799</v>
      </c>
      <c r="L24" s="2">
        <f t="shared" si="3"/>
        <v>60.053413081097979</v>
      </c>
      <c r="N24">
        <f t="shared" si="4"/>
        <v>126.39092553075477</v>
      </c>
    </row>
    <row r="25" spans="2:14" x14ac:dyDescent="0.3">
      <c r="B25" s="1">
        <v>44002</v>
      </c>
      <c r="C25">
        <v>301</v>
      </c>
      <c r="D25" s="2">
        <f t="shared" si="7"/>
        <v>272</v>
      </c>
      <c r="E25">
        <f t="shared" si="0"/>
        <v>4543</v>
      </c>
      <c r="F25" s="2"/>
      <c r="G25" s="2">
        <f t="shared" si="5"/>
        <v>178467.50196655447</v>
      </c>
      <c r="H25" s="2">
        <f t="shared" si="6"/>
        <v>907.08529558502846</v>
      </c>
      <c r="I25" s="2">
        <f t="shared" si="8"/>
        <v>625.41273786053682</v>
      </c>
      <c r="J25" s="2">
        <f t="shared" si="1"/>
        <v>-136.26704273876575</v>
      </c>
      <c r="K25" s="2">
        <f t="shared" si="2"/>
        <v>71.475235911263724</v>
      </c>
      <c r="L25" s="2">
        <f t="shared" si="3"/>
        <v>64.791806827502029</v>
      </c>
      <c r="N25">
        <f t="shared" si="4"/>
        <v>136.26704273876575</v>
      </c>
    </row>
    <row r="26" spans="2:14" x14ac:dyDescent="0.3">
      <c r="B26" s="1">
        <v>44003</v>
      </c>
      <c r="C26">
        <v>269</v>
      </c>
      <c r="D26" s="2">
        <f t="shared" si="7"/>
        <v>279.14285714285717</v>
      </c>
      <c r="E26">
        <f t="shared" si="0"/>
        <v>4812</v>
      </c>
      <c r="F26" s="2"/>
      <c r="G26" s="2">
        <f t="shared" si="5"/>
        <v>178331.2349238157</v>
      </c>
      <c r="H26" s="2">
        <f t="shared" si="6"/>
        <v>978.56053149629224</v>
      </c>
      <c r="I26" s="2">
        <f t="shared" si="8"/>
        <v>690.20454468803882</v>
      </c>
      <c r="J26" s="2">
        <f t="shared" si="1"/>
        <v>-146.89217847595896</v>
      </c>
      <c r="K26" s="2">
        <f t="shared" si="2"/>
        <v>76.994997654795228</v>
      </c>
      <c r="L26" s="2">
        <f t="shared" si="3"/>
        <v>69.89718082116373</v>
      </c>
      <c r="N26">
        <f t="shared" si="4"/>
        <v>146.89217847595896</v>
      </c>
    </row>
    <row r="27" spans="2:14" x14ac:dyDescent="0.3">
      <c r="B27" s="1">
        <v>44004</v>
      </c>
      <c r="C27">
        <v>179</v>
      </c>
      <c r="D27" s="2">
        <f t="shared" si="7"/>
        <v>318.57142857142856</v>
      </c>
      <c r="E27">
        <f t="shared" si="0"/>
        <v>4991</v>
      </c>
      <c r="F27" s="2"/>
      <c r="G27" s="2">
        <f t="shared" si="5"/>
        <v>178184.34274533973</v>
      </c>
      <c r="H27" s="2">
        <f t="shared" si="6"/>
        <v>1055.5555291510875</v>
      </c>
      <c r="I27" s="2">
        <f t="shared" si="8"/>
        <v>760.10172550920254</v>
      </c>
      <c r="J27" s="2">
        <f t="shared" si="1"/>
        <v>-158.31941767087193</v>
      </c>
      <c r="K27" s="2">
        <f t="shared" si="2"/>
        <v>82.922594160079967</v>
      </c>
      <c r="L27" s="2">
        <f t="shared" si="3"/>
        <v>75.396823510791961</v>
      </c>
      <c r="N27">
        <f t="shared" si="4"/>
        <v>158.31941767087193</v>
      </c>
    </row>
    <row r="28" spans="2:14" x14ac:dyDescent="0.3">
      <c r="B28" s="1">
        <v>44005</v>
      </c>
      <c r="C28">
        <v>479</v>
      </c>
      <c r="D28" s="2">
        <f t="shared" si="7"/>
        <v>333.42857142857144</v>
      </c>
      <c r="E28">
        <f t="shared" si="0"/>
        <v>5470</v>
      </c>
      <c r="F28" s="2"/>
      <c r="G28" s="2">
        <f t="shared" si="5"/>
        <v>178026.02332766887</v>
      </c>
      <c r="H28" s="2">
        <f t="shared" si="6"/>
        <v>1138.4781233111676</v>
      </c>
      <c r="I28" s="2">
        <f t="shared" si="8"/>
        <v>835.49854901999447</v>
      </c>
      <c r="J28" s="2">
        <f t="shared" si="1"/>
        <v>-170.60499405608974</v>
      </c>
      <c r="K28" s="2">
        <f t="shared" si="2"/>
        <v>89.28512810529206</v>
      </c>
      <c r="L28" s="2">
        <f t="shared" si="3"/>
        <v>81.319865950797677</v>
      </c>
      <c r="N28">
        <f t="shared" si="4"/>
        <v>170.60499405608974</v>
      </c>
    </row>
    <row r="29" spans="2:14" x14ac:dyDescent="0.3">
      <c r="B29" s="1">
        <v>44006</v>
      </c>
      <c r="C29">
        <v>249</v>
      </c>
      <c r="D29" s="2">
        <f t="shared" si="7"/>
        <v>336.42857142857144</v>
      </c>
      <c r="E29">
        <f t="shared" si="0"/>
        <v>5719</v>
      </c>
      <c r="F29" s="2"/>
      <c r="G29" s="2">
        <f t="shared" si="5"/>
        <v>177855.41833361279</v>
      </c>
      <c r="H29" s="2">
        <f t="shared" si="6"/>
        <v>1227.7632514164595</v>
      </c>
      <c r="I29" s="2">
        <f t="shared" si="8"/>
        <v>916.81841497079211</v>
      </c>
      <c r="J29" s="2">
        <f t="shared" si="1"/>
        <v>-183.80837263915069</v>
      </c>
      <c r="K29" s="2">
        <f t="shared" si="2"/>
        <v>96.11099753797501</v>
      </c>
      <c r="L29" s="2">
        <f t="shared" si="3"/>
        <v>87.69737510117568</v>
      </c>
      <c r="N29">
        <f t="shared" si="4"/>
        <v>183.80837263915069</v>
      </c>
    </row>
    <row r="30" spans="2:14" x14ac:dyDescent="0.3">
      <c r="B30" s="1">
        <v>44007</v>
      </c>
      <c r="C30">
        <v>466</v>
      </c>
      <c r="D30" s="2">
        <f t="shared" si="7"/>
        <v>350.42857142857144</v>
      </c>
      <c r="E30">
        <f t="shared" si="0"/>
        <v>6185</v>
      </c>
      <c r="F30" s="2"/>
      <c r="G30" s="2">
        <f t="shared" si="5"/>
        <v>177671.60996097364</v>
      </c>
      <c r="H30" s="2">
        <f t="shared" si="6"/>
        <v>1323.8742489544345</v>
      </c>
      <c r="I30" s="2">
        <f t="shared" si="8"/>
        <v>1004.5157900719678</v>
      </c>
      <c r="J30" s="2">
        <f t="shared" si="1"/>
        <v>-197.99231413940171</v>
      </c>
      <c r="K30" s="2">
        <f t="shared" si="2"/>
        <v>103.42986778551354</v>
      </c>
      <c r="L30" s="2">
        <f t="shared" si="3"/>
        <v>94.562446353888177</v>
      </c>
      <c r="N30">
        <f t="shared" si="4"/>
        <v>197.99231413940171</v>
      </c>
    </row>
    <row r="31" spans="2:14" x14ac:dyDescent="0.3">
      <c r="B31" s="1">
        <v>44008</v>
      </c>
      <c r="C31">
        <v>391</v>
      </c>
      <c r="D31" s="2">
        <f t="shared" si="7"/>
        <v>403.42857142857144</v>
      </c>
      <c r="E31">
        <f t="shared" si="0"/>
        <v>6576</v>
      </c>
      <c r="F31" s="2"/>
      <c r="G31" s="2">
        <f t="shared" si="5"/>
        <v>177473.61764683423</v>
      </c>
      <c r="H31" s="2">
        <f t="shared" si="6"/>
        <v>1427.3041167399481</v>
      </c>
      <c r="I31" s="2">
        <f t="shared" si="8"/>
        <v>1099.0782364258559</v>
      </c>
      <c r="J31" s="2">
        <f t="shared" si="1"/>
        <v>-213.22291673405556</v>
      </c>
      <c r="K31" s="2">
        <f t="shared" si="2"/>
        <v>111.27262268120214</v>
      </c>
      <c r="L31" s="2">
        <f t="shared" si="3"/>
        <v>101.95029405285342</v>
      </c>
      <c r="N31">
        <f t="shared" si="4"/>
        <v>213.22291673405556</v>
      </c>
    </row>
    <row r="32" spans="2:14" x14ac:dyDescent="0.3">
      <c r="B32" s="1">
        <v>44009</v>
      </c>
      <c r="C32">
        <v>322</v>
      </c>
      <c r="D32" s="2">
        <f t="shared" si="7"/>
        <v>384.42857142857144</v>
      </c>
      <c r="E32">
        <f t="shared" si="0"/>
        <v>6898</v>
      </c>
      <c r="F32" s="2"/>
      <c r="G32" s="2">
        <f t="shared" si="5"/>
        <v>177260.39473010018</v>
      </c>
      <c r="H32" s="2">
        <f t="shared" si="6"/>
        <v>1538.5767394211503</v>
      </c>
      <c r="I32" s="2">
        <f t="shared" si="8"/>
        <v>1201.0285304787094</v>
      </c>
      <c r="J32" s="2">
        <f t="shared" si="1"/>
        <v>-229.56962975786493</v>
      </c>
      <c r="K32" s="2">
        <f t="shared" si="2"/>
        <v>119.67129122778277</v>
      </c>
      <c r="L32" s="2">
        <f t="shared" si="3"/>
        <v>109.89833853008216</v>
      </c>
      <c r="N32">
        <f t="shared" si="4"/>
        <v>229.56962975786493</v>
      </c>
    </row>
    <row r="33" spans="2:14" x14ac:dyDescent="0.3">
      <c r="B33" s="1">
        <v>44010</v>
      </c>
      <c r="C33">
        <v>367</v>
      </c>
      <c r="D33" s="2">
        <f t="shared" si="7"/>
        <v>398.71428571428572</v>
      </c>
      <c r="E33">
        <f t="shared" si="0"/>
        <v>7265</v>
      </c>
      <c r="F33" s="2"/>
      <c r="G33" s="2">
        <f t="shared" si="5"/>
        <v>177030.82510034231</v>
      </c>
      <c r="H33" s="2">
        <f t="shared" si="6"/>
        <v>1658.2480306489331</v>
      </c>
      <c r="I33" s="2">
        <f t="shared" si="8"/>
        <v>1310.9268690087915</v>
      </c>
      <c r="J33" s="2">
        <f t="shared" si="1"/>
        <v>-247.10523323804574</v>
      </c>
      <c r="K33" s="2">
        <f t="shared" si="2"/>
        <v>128.65894533455054</v>
      </c>
      <c r="L33" s="2">
        <f t="shared" si="3"/>
        <v>118.44628790349522</v>
      </c>
      <c r="N33">
        <f t="shared" si="4"/>
        <v>247.10523323804574</v>
      </c>
    </row>
    <row r="34" spans="2:14" x14ac:dyDescent="0.3">
      <c r="B34" s="1">
        <v>44011</v>
      </c>
      <c r="C34">
        <v>550</v>
      </c>
      <c r="D34" s="2">
        <f t="shared" si="7"/>
        <v>349.71428571428572</v>
      </c>
      <c r="E34">
        <f t="shared" si="0"/>
        <v>7815</v>
      </c>
      <c r="F34" s="2"/>
      <c r="G34" s="2">
        <f t="shared" si="5"/>
        <v>176783.71986710426</v>
      </c>
      <c r="H34" s="2">
        <f t="shared" si="6"/>
        <v>1786.9069759834836</v>
      </c>
      <c r="I34" s="2">
        <f t="shared" si="8"/>
        <v>1429.3731569122867</v>
      </c>
      <c r="J34" s="2">
        <f t="shared" si="1"/>
        <v>-265.90577632225467</v>
      </c>
      <c r="K34" s="2">
        <f t="shared" si="2"/>
        <v>138.26956375200587</v>
      </c>
      <c r="L34" s="2">
        <f t="shared" si="3"/>
        <v>127.63621257024882</v>
      </c>
      <c r="N34">
        <f t="shared" si="4"/>
        <v>265.90577632225467</v>
      </c>
    </row>
    <row r="35" spans="2:14" x14ac:dyDescent="0.3">
      <c r="B35" s="1">
        <v>44012</v>
      </c>
      <c r="C35">
        <v>346</v>
      </c>
      <c r="D35" s="2">
        <f t="shared" si="7"/>
        <v>389</v>
      </c>
      <c r="E35">
        <f t="shared" si="0"/>
        <v>8161</v>
      </c>
      <c r="F35" s="2"/>
      <c r="G35" s="2">
        <f t="shared" si="5"/>
        <v>176517.81409078199</v>
      </c>
      <c r="H35" s="2">
        <f t="shared" si="6"/>
        <v>1925.1765397354893</v>
      </c>
      <c r="I35" s="2">
        <f t="shared" si="8"/>
        <v>1557.0093694825355</v>
      </c>
      <c r="J35" s="2">
        <f t="shared" si="1"/>
        <v>-286.05046677858928</v>
      </c>
      <c r="K35" s="2">
        <f t="shared" si="2"/>
        <v>148.5378567974829</v>
      </c>
      <c r="L35" s="2">
        <f t="shared" si="3"/>
        <v>137.51260998110638</v>
      </c>
      <c r="N35">
        <f t="shared" si="4"/>
        <v>286.05046677858928</v>
      </c>
    </row>
    <row r="36" spans="2:14" x14ac:dyDescent="0.3">
      <c r="B36" s="1">
        <v>44013</v>
      </c>
      <c r="C36">
        <v>349</v>
      </c>
      <c r="D36" s="2">
        <f t="shared" si="7"/>
        <v>433.85714285714283</v>
      </c>
      <c r="E36">
        <f t="shared" si="0"/>
        <v>8510</v>
      </c>
      <c r="F36" s="2"/>
      <c r="G36" s="2">
        <f t="shared" si="5"/>
        <v>176231.76362400339</v>
      </c>
      <c r="H36" s="2">
        <f t="shared" si="6"/>
        <v>2073.7143965329724</v>
      </c>
      <c r="I36" s="2">
        <f t="shared" si="8"/>
        <v>1694.5219794636419</v>
      </c>
      <c r="J36" s="2">
        <f t="shared" si="1"/>
        <v>-307.62150282280442</v>
      </c>
      <c r="K36" s="2">
        <f t="shared" si="2"/>
        <v>159.49904592759211</v>
      </c>
      <c r="L36" s="2">
        <f t="shared" si="3"/>
        <v>148.12245689521231</v>
      </c>
      <c r="N36">
        <f t="shared" si="4"/>
        <v>307.62150282280442</v>
      </c>
    </row>
    <row r="37" spans="2:14" x14ac:dyDescent="0.3">
      <c r="B37" s="1">
        <v>44014</v>
      </c>
      <c r="C37">
        <v>123</v>
      </c>
      <c r="D37" s="2">
        <f t="shared" si="7"/>
        <v>549.71428571428567</v>
      </c>
      <c r="E37">
        <f t="shared" si="0"/>
        <v>8633</v>
      </c>
      <c r="F37" s="2"/>
      <c r="G37" s="2">
        <f t="shared" si="5"/>
        <v>175924.14212118057</v>
      </c>
      <c r="H37" s="2">
        <f t="shared" si="6"/>
        <v>2233.2134424605647</v>
      </c>
      <c r="I37" s="2">
        <f t="shared" si="8"/>
        <v>1842.6444363588541</v>
      </c>
      <c r="J37" s="2">
        <f t="shared" si="1"/>
        <v>-330.70383757437992</v>
      </c>
      <c r="K37" s="2">
        <f t="shared" si="2"/>
        <v>171.1885916843396</v>
      </c>
      <c r="L37" s="2">
        <f t="shared" si="3"/>
        <v>159.51524589004032</v>
      </c>
      <c r="N37">
        <f t="shared" si="4"/>
        <v>330.70383757437992</v>
      </c>
    </row>
    <row r="38" spans="2:14" x14ac:dyDescent="0.3">
      <c r="B38" s="1">
        <v>44015</v>
      </c>
      <c r="C38">
        <v>666</v>
      </c>
      <c r="D38" s="2">
        <f t="shared" si="7"/>
        <v>616</v>
      </c>
      <c r="E38">
        <f t="shared" si="0"/>
        <v>9299</v>
      </c>
      <c r="F38" s="2"/>
      <c r="G38" s="2">
        <f t="shared" si="5"/>
        <v>175593.4382836062</v>
      </c>
      <c r="H38" s="2">
        <f t="shared" si="6"/>
        <v>2404.4020341449041</v>
      </c>
      <c r="I38" s="2">
        <f t="shared" si="8"/>
        <v>2002.1596822488946</v>
      </c>
      <c r="J38" s="2">
        <f t="shared" si="1"/>
        <v>-355.38486548114514</v>
      </c>
      <c r="K38" s="2">
        <f t="shared" si="2"/>
        <v>183.64186304222343</v>
      </c>
      <c r="L38" s="2">
        <f t="shared" si="3"/>
        <v>171.74300243892171</v>
      </c>
      <c r="N38">
        <f t="shared" si="4"/>
        <v>355.38486548114514</v>
      </c>
    </row>
    <row r="39" spans="2:14" x14ac:dyDescent="0.3">
      <c r="B39" s="1">
        <v>44016</v>
      </c>
      <c r="C39">
        <v>636</v>
      </c>
      <c r="D39" s="2">
        <f t="shared" si="7"/>
        <v>689.85714285714289</v>
      </c>
      <c r="E39">
        <f t="shared" si="0"/>
        <v>9935</v>
      </c>
      <c r="F39" s="2"/>
      <c r="G39" s="2">
        <f t="shared" si="5"/>
        <v>175238.05341812506</v>
      </c>
      <c r="H39" s="2">
        <f t="shared" si="6"/>
        <v>2588.0438971871276</v>
      </c>
      <c r="I39" s="2">
        <f t="shared" si="8"/>
        <v>2173.9026846878164</v>
      </c>
      <c r="J39" s="2">
        <f t="shared" si="1"/>
        <v>-381.7540191108842</v>
      </c>
      <c r="K39" s="2">
        <f t="shared" si="2"/>
        <v>196.89374074037511</v>
      </c>
      <c r="L39" s="2">
        <f t="shared" si="3"/>
        <v>184.86027837050909</v>
      </c>
      <c r="N39">
        <f t="shared" si="4"/>
        <v>381.7540191108842</v>
      </c>
    </row>
    <row r="40" spans="2:14" x14ac:dyDescent="0.3">
      <c r="B40" s="1">
        <v>44017</v>
      </c>
      <c r="C40">
        <v>1178</v>
      </c>
      <c r="D40" s="2">
        <f t="shared" si="7"/>
        <v>833.71428571428567</v>
      </c>
      <c r="E40">
        <f t="shared" si="0"/>
        <v>11113</v>
      </c>
      <c r="F40" s="2"/>
      <c r="G40" s="2">
        <f t="shared" si="5"/>
        <v>174856.29939901418</v>
      </c>
      <c r="H40" s="2">
        <f t="shared" si="6"/>
        <v>2784.9376379275027</v>
      </c>
      <c r="I40" s="2">
        <f t="shared" si="8"/>
        <v>2358.7629630583256</v>
      </c>
      <c r="J40" s="2">
        <f t="shared" si="1"/>
        <v>-409.90226382578686</v>
      </c>
      <c r="K40" s="2">
        <f t="shared" si="2"/>
        <v>210.97814683096524</v>
      </c>
      <c r="L40" s="2">
        <f t="shared" si="3"/>
        <v>198.92411699482162</v>
      </c>
      <c r="N40">
        <f t="shared" si="4"/>
        <v>409.90226382578686</v>
      </c>
    </row>
    <row r="41" spans="2:14" x14ac:dyDescent="0.3">
      <c r="B41" s="1">
        <v>44018</v>
      </c>
      <c r="C41">
        <v>1014</v>
      </c>
      <c r="D41" s="2">
        <f t="shared" si="7"/>
        <v>905.42857142857144</v>
      </c>
      <c r="E41">
        <f t="shared" si="0"/>
        <v>12127</v>
      </c>
      <c r="F41" s="2"/>
      <c r="G41" s="2">
        <f t="shared" si="5"/>
        <v>174446.3971351884</v>
      </c>
      <c r="H41" s="2">
        <f t="shared" si="6"/>
        <v>2995.9157847584679</v>
      </c>
      <c r="I41" s="2">
        <f t="shared" si="8"/>
        <v>2557.6870800531474</v>
      </c>
      <c r="J41" s="2">
        <f t="shared" si="1"/>
        <v>-439.92147708043376</v>
      </c>
      <c r="K41" s="2">
        <f t="shared" si="2"/>
        <v>225.92749245482892</v>
      </c>
      <c r="L41" s="2">
        <f t="shared" si="3"/>
        <v>213.99398462560484</v>
      </c>
      <c r="N41">
        <f t="shared" si="4"/>
        <v>439.92147708043376</v>
      </c>
    </row>
    <row r="42" spans="2:14" x14ac:dyDescent="0.3">
      <c r="B42" s="1">
        <v>44019</v>
      </c>
      <c r="C42">
        <v>863</v>
      </c>
      <c r="D42" s="2">
        <f t="shared" si="7"/>
        <v>908.71428571428567</v>
      </c>
      <c r="E42">
        <f t="shared" si="0"/>
        <v>12990</v>
      </c>
      <c r="F42" s="2"/>
      <c r="G42" s="2">
        <f t="shared" si="5"/>
        <v>174006.47565810796</v>
      </c>
      <c r="H42" s="2">
        <f t="shared" si="6"/>
        <v>3221.8432772132969</v>
      </c>
      <c r="I42" s="2">
        <f t="shared" si="8"/>
        <v>2771.6810646787521</v>
      </c>
      <c r="J42" s="2">
        <f t="shared" si="1"/>
        <v>-471.90369847698179</v>
      </c>
      <c r="K42" s="2">
        <f t="shared" si="2"/>
        <v>241.77203581888915</v>
      </c>
      <c r="L42" s="2">
        <f t="shared" si="3"/>
        <v>230.13166265809264</v>
      </c>
      <c r="N42">
        <f t="shared" si="4"/>
        <v>471.90369847698179</v>
      </c>
    </row>
    <row r="43" spans="2:14" x14ac:dyDescent="0.3">
      <c r="B43" s="1">
        <v>44020</v>
      </c>
      <c r="C43">
        <v>1356</v>
      </c>
      <c r="D43" s="2">
        <f t="shared" si="7"/>
        <v>929.57142857142856</v>
      </c>
      <c r="E43">
        <f t="shared" si="0"/>
        <v>14346</v>
      </c>
      <c r="F43" s="2"/>
      <c r="G43" s="2">
        <f t="shared" si="5"/>
        <v>173534.57195963096</v>
      </c>
      <c r="H43" s="2">
        <f t="shared" si="6"/>
        <v>3463.6153130321859</v>
      </c>
      <c r="I43" s="2">
        <f t="shared" si="8"/>
        <v>3001.8127273368445</v>
      </c>
      <c r="J43" s="2">
        <f t="shared" si="1"/>
        <v>-505.94023634668656</v>
      </c>
      <c r="K43" s="2">
        <f t="shared" si="2"/>
        <v>258.53914255867329</v>
      </c>
      <c r="L43" s="2">
        <f t="shared" si="3"/>
        <v>247.40109378801327</v>
      </c>
      <c r="N43">
        <f t="shared" si="4"/>
        <v>505.94023634668656</v>
      </c>
    </row>
    <row r="44" spans="2:14" x14ac:dyDescent="0.3">
      <c r="B44" s="1">
        <v>44021</v>
      </c>
      <c r="C44">
        <v>625</v>
      </c>
      <c r="D44" s="2">
        <f t="shared" si="7"/>
        <v>922.85714285714289</v>
      </c>
      <c r="E44">
        <f t="shared" si="0"/>
        <v>14971</v>
      </c>
      <c r="F44" s="2"/>
      <c r="G44" s="2">
        <f t="shared" si="5"/>
        <v>173028.63172328428</v>
      </c>
      <c r="H44" s="2">
        <f t="shared" si="6"/>
        <v>3722.154455590859</v>
      </c>
      <c r="I44" s="2">
        <f t="shared" si="8"/>
        <v>3249.213821124858</v>
      </c>
      <c r="J44" s="2">
        <f t="shared" si="1"/>
        <v>-542.12061659394988</v>
      </c>
      <c r="K44" s="2">
        <f t="shared" si="2"/>
        <v>276.2524411946028</v>
      </c>
      <c r="L44" s="2">
        <f t="shared" si="3"/>
        <v>265.86817539934708</v>
      </c>
      <c r="N44">
        <f t="shared" si="4"/>
        <v>542.12061659394988</v>
      </c>
    </row>
    <row r="45" spans="2:14" x14ac:dyDescent="0.3">
      <c r="B45" s="1">
        <v>44022</v>
      </c>
      <c r="C45">
        <v>689</v>
      </c>
      <c r="D45" s="2">
        <f t="shared" si="7"/>
        <v>852.57142857142856</v>
      </c>
      <c r="E45">
        <f t="shared" si="0"/>
        <v>15660</v>
      </c>
      <c r="F45" s="2"/>
      <c r="G45" s="2">
        <f t="shared" si="5"/>
        <v>172486.51110669033</v>
      </c>
      <c r="H45" s="2">
        <f t="shared" si="6"/>
        <v>3998.4068967854619</v>
      </c>
      <c r="I45" s="2">
        <f t="shared" si="8"/>
        <v>3515.0819965242049</v>
      </c>
      <c r="J45" s="2">
        <f t="shared" si="1"/>
        <v>-580.53135994230024</v>
      </c>
      <c r="K45" s="2">
        <f t="shared" si="2"/>
        <v>294.93086731476728</v>
      </c>
      <c r="L45" s="2">
        <f t="shared" si="3"/>
        <v>285.60049262753296</v>
      </c>
      <c r="N45">
        <f t="shared" si="4"/>
        <v>580.53135994230024</v>
      </c>
    </row>
    <row r="46" spans="2:14" x14ac:dyDescent="0.3">
      <c r="B46" s="1">
        <v>44023</v>
      </c>
      <c r="C46">
        <v>782</v>
      </c>
      <c r="D46" s="2">
        <f t="shared" si="7"/>
        <v>778.57142857142856</v>
      </c>
      <c r="E46">
        <f t="shared" si="0"/>
        <v>16442</v>
      </c>
      <c r="F46" s="2"/>
      <c r="G46" s="2">
        <f t="shared" si="5"/>
        <v>171905.97974674802</v>
      </c>
      <c r="H46" s="2">
        <f t="shared" si="6"/>
        <v>4293.3377641002289</v>
      </c>
      <c r="I46" s="2">
        <f t="shared" si="8"/>
        <v>3800.6824891517381</v>
      </c>
      <c r="J46" s="2">
        <f t="shared" si="1"/>
        <v>-621.2545746812815</v>
      </c>
      <c r="K46" s="2">
        <f t="shared" si="2"/>
        <v>314.58759153126516</v>
      </c>
      <c r="L46" s="2">
        <f t="shared" si="3"/>
        <v>306.66698315001634</v>
      </c>
      <c r="N46">
        <f t="shared" si="4"/>
        <v>621.2545746812815</v>
      </c>
    </row>
    <row r="47" spans="2:14" x14ac:dyDescent="0.3">
      <c r="B47" s="1">
        <v>44024</v>
      </c>
      <c r="C47">
        <v>1131</v>
      </c>
      <c r="D47" s="2">
        <f t="shared" si="7"/>
        <v>670.85714285714289</v>
      </c>
      <c r="E47">
        <f t="shared" si="0"/>
        <v>17573</v>
      </c>
      <c r="F47" s="2"/>
      <c r="G47" s="2">
        <f t="shared" si="5"/>
        <v>171284.72517206674</v>
      </c>
      <c r="H47" s="2">
        <f t="shared" si="6"/>
        <v>4607.9253556314943</v>
      </c>
      <c r="I47" s="2">
        <f t="shared" si="8"/>
        <v>4107.3494723017548</v>
      </c>
      <c r="J47" s="2">
        <f t="shared" si="1"/>
        <v>-664.36635366392125</v>
      </c>
      <c r="K47" s="2">
        <f t="shared" si="2"/>
        <v>335.22882826167165</v>
      </c>
      <c r="L47" s="2">
        <f t="shared" si="3"/>
        <v>329.13752540224959</v>
      </c>
      <c r="N47">
        <f t="shared" si="4"/>
        <v>664.36635366392125</v>
      </c>
    </row>
    <row r="48" spans="2:14" x14ac:dyDescent="0.3">
      <c r="B48" s="1">
        <v>44025</v>
      </c>
      <c r="C48">
        <v>522</v>
      </c>
      <c r="D48" s="2">
        <f t="shared" si="7"/>
        <v>816.85714285714289</v>
      </c>
      <c r="E48">
        <f t="shared" si="0"/>
        <v>18095</v>
      </c>
      <c r="F48" s="2"/>
      <c r="G48" s="2">
        <f t="shared" si="5"/>
        <v>170620.35881840283</v>
      </c>
      <c r="H48" s="2">
        <f t="shared" si="6"/>
        <v>4943.1541838931662</v>
      </c>
      <c r="I48" s="2">
        <f t="shared" si="8"/>
        <v>4436.4869977040044</v>
      </c>
      <c r="J48" s="2">
        <f t="shared" si="1"/>
        <v>-709.93496679338489</v>
      </c>
      <c r="K48" s="2">
        <f t="shared" si="2"/>
        <v>356.85252508673017</v>
      </c>
      <c r="L48" s="2">
        <f t="shared" si="3"/>
        <v>353.08244170665472</v>
      </c>
      <c r="N48">
        <f t="shared" si="4"/>
        <v>709.93496679338489</v>
      </c>
    </row>
    <row r="49" spans="2:14" x14ac:dyDescent="0.3">
      <c r="B49" s="1">
        <v>44026</v>
      </c>
      <c r="C49">
        <v>345</v>
      </c>
      <c r="D49" s="2">
        <f t="shared" si="7"/>
        <v>857</v>
      </c>
      <c r="E49">
        <f t="shared" si="0"/>
        <v>18440</v>
      </c>
      <c r="F49" s="2"/>
      <c r="G49" s="2">
        <f t="shared" si="5"/>
        <v>169910.42385160946</v>
      </c>
      <c r="H49" s="2">
        <f t="shared" si="6"/>
        <v>5300.0067089798968</v>
      </c>
      <c r="I49" s="2">
        <f t="shared" si="8"/>
        <v>4789.5694394106595</v>
      </c>
      <c r="J49" s="2">
        <f t="shared" si="1"/>
        <v>-758.01884371982146</v>
      </c>
      <c r="K49" s="2">
        <f t="shared" si="2"/>
        <v>379.44693593554314</v>
      </c>
      <c r="L49" s="2">
        <f t="shared" si="3"/>
        <v>378.57190778427832</v>
      </c>
      <c r="N49">
        <f t="shared" si="4"/>
        <v>758.01884371982146</v>
      </c>
    </row>
    <row r="50" spans="2:14" x14ac:dyDescent="0.3">
      <c r="B50" s="1">
        <v>44027</v>
      </c>
      <c r="C50">
        <v>602</v>
      </c>
      <c r="D50" s="2">
        <f t="shared" si="7"/>
        <v>971.71428571428567</v>
      </c>
      <c r="E50">
        <f t="shared" si="0"/>
        <v>19042</v>
      </c>
      <c r="F50" s="2"/>
      <c r="G50" s="2">
        <f t="shared" si="5"/>
        <v>169152.40500788964</v>
      </c>
      <c r="H50" s="2">
        <f t="shared" si="6"/>
        <v>5679.4536449154402</v>
      </c>
      <c r="I50" s="2">
        <f t="shared" si="8"/>
        <v>5168.1413471949381</v>
      </c>
      <c r="J50" s="2">
        <f t="shared" si="1"/>
        <v>-808.66434610123883</v>
      </c>
      <c r="K50" s="2">
        <f t="shared" si="2"/>
        <v>402.98908575013598</v>
      </c>
      <c r="L50" s="2">
        <f t="shared" si="3"/>
        <v>405.67526035110285</v>
      </c>
      <c r="N50">
        <f t="shared" si="4"/>
        <v>808.66434610123883</v>
      </c>
    </row>
    <row r="51" spans="2:14" x14ac:dyDescent="0.3">
      <c r="B51" s="1">
        <v>44028</v>
      </c>
      <c r="C51">
        <v>1647</v>
      </c>
      <c r="D51" s="2">
        <f t="shared" si="7"/>
        <v>1020.7142857142857</v>
      </c>
      <c r="E51">
        <f t="shared" si="0"/>
        <v>20689</v>
      </c>
      <c r="F51" s="2"/>
      <c r="G51" s="2">
        <f t="shared" si="5"/>
        <v>168343.74066178841</v>
      </c>
      <c r="H51" s="2">
        <f t="shared" si="6"/>
        <v>6082.4427306655762</v>
      </c>
      <c r="I51" s="2">
        <f t="shared" si="8"/>
        <v>5573.8166075460413</v>
      </c>
      <c r="J51" s="2">
        <f t="shared" si="1"/>
        <v>-861.90333471493773</v>
      </c>
      <c r="K51" s="2">
        <f t="shared" si="2"/>
        <v>427.44313966739662</v>
      </c>
      <c r="L51" s="2">
        <f t="shared" si="3"/>
        <v>434.46019504754111</v>
      </c>
      <c r="N51">
        <f t="shared" si="4"/>
        <v>861.90333471493773</v>
      </c>
    </row>
    <row r="52" spans="2:14" x14ac:dyDescent="0.3">
      <c r="B52" s="1">
        <v>44029</v>
      </c>
      <c r="C52">
        <v>970</v>
      </c>
      <c r="D52" s="2">
        <f t="shared" si="7"/>
        <v>1111.1428571428571</v>
      </c>
      <c r="E52">
        <f t="shared" si="0"/>
        <v>21659</v>
      </c>
      <c r="F52" s="2"/>
      <c r="G52" s="2">
        <f t="shared" si="5"/>
        <v>167481.83732707347</v>
      </c>
      <c r="H52" s="2">
        <f t="shared" si="6"/>
        <v>6509.8858703329724</v>
      </c>
      <c r="I52" s="2">
        <f t="shared" si="8"/>
        <v>6008.276802593582</v>
      </c>
      <c r="J52" s="2">
        <f t="shared" si="1"/>
        <v>-917.75054406811523</v>
      </c>
      <c r="K52" s="2">
        <f t="shared" si="2"/>
        <v>452.75869618718866</v>
      </c>
      <c r="L52" s="2">
        <f t="shared" si="3"/>
        <v>464.99184788092657</v>
      </c>
      <c r="N52">
        <f t="shared" si="4"/>
        <v>917.75054406811523</v>
      </c>
    </row>
    <row r="53" spans="2:14" x14ac:dyDescent="0.3">
      <c r="B53" s="1">
        <v>44030</v>
      </c>
      <c r="C53">
        <v>1585</v>
      </c>
      <c r="D53" s="2">
        <f t="shared" si="7"/>
        <v>1252.7142857142858</v>
      </c>
      <c r="E53">
        <f t="shared" si="0"/>
        <v>23244</v>
      </c>
      <c r="F53" s="2"/>
      <c r="G53" s="2">
        <f t="shared" si="5"/>
        <v>166564.08678300536</v>
      </c>
      <c r="H53" s="2">
        <f t="shared" si="6"/>
        <v>6962.6445665201609</v>
      </c>
      <c r="I53" s="2">
        <f t="shared" si="8"/>
        <v>6473.2686504745088</v>
      </c>
      <c r="J53" s="2">
        <f t="shared" si="1"/>
        <v>-976.2007860413172</v>
      </c>
      <c r="K53" s="2">
        <f t="shared" si="2"/>
        <v>478.86903128987717</v>
      </c>
      <c r="L53" s="2">
        <f t="shared" si="3"/>
        <v>497.33175475144003</v>
      </c>
      <c r="N53">
        <f t="shared" si="4"/>
        <v>976.2007860413172</v>
      </c>
    </row>
    <row r="54" spans="2:14" x14ac:dyDescent="0.3">
      <c r="B54" s="1">
        <v>44031</v>
      </c>
      <c r="C54">
        <v>1474</v>
      </c>
      <c r="D54" s="2">
        <f t="shared" si="7"/>
        <v>1275.7142857142858</v>
      </c>
      <c r="E54">
        <f t="shared" si="0"/>
        <v>24718</v>
      </c>
      <c r="F54" s="2"/>
      <c r="G54" s="2">
        <f t="shared" si="5"/>
        <v>165587.88599696403</v>
      </c>
      <c r="H54" s="2">
        <f t="shared" si="6"/>
        <v>7441.5135978100379</v>
      </c>
      <c r="I54" s="2">
        <f t="shared" si="8"/>
        <v>6970.6004052259486</v>
      </c>
      <c r="J54" s="2">
        <f t="shared" si="1"/>
        <v>-1037.2260145446348</v>
      </c>
      <c r="K54" s="2">
        <f t="shared" si="2"/>
        <v>505.68932898677497</v>
      </c>
      <c r="L54" s="2">
        <f t="shared" si="3"/>
        <v>531.53668555785987</v>
      </c>
      <c r="N54">
        <f t="shared" si="4"/>
        <v>1037.2260145446348</v>
      </c>
    </row>
    <row r="55" spans="2:14" x14ac:dyDescent="0.3">
      <c r="B55" s="1">
        <v>44032</v>
      </c>
      <c r="C55">
        <v>1155</v>
      </c>
      <c r="D55" s="2">
        <f t="shared" si="7"/>
        <v>1224.1428571428571</v>
      </c>
      <c r="E55">
        <f t="shared" si="0"/>
        <v>25873</v>
      </c>
      <c r="F55" s="2"/>
      <c r="G55" s="2">
        <f t="shared" si="5"/>
        <v>164550.6599824194</v>
      </c>
      <c r="H55" s="2">
        <f t="shared" si="6"/>
        <v>7947.2029267968128</v>
      </c>
      <c r="I55" s="2">
        <f t="shared" si="8"/>
        <v>7502.1370907838082</v>
      </c>
      <c r="J55" s="2">
        <f t="shared" si="1"/>
        <v>-1100.7722951335275</v>
      </c>
      <c r="K55" s="2">
        <f t="shared" si="2"/>
        <v>533.11494321946941</v>
      </c>
      <c r="L55" s="2">
        <f t="shared" si="3"/>
        <v>567.65735191405804</v>
      </c>
      <c r="N55">
        <f t="shared" si="4"/>
        <v>1100.7722951335275</v>
      </c>
    </row>
    <row r="56" spans="2:14" x14ac:dyDescent="0.3">
      <c r="B56" s="1">
        <v>44033</v>
      </c>
      <c r="C56">
        <v>1336</v>
      </c>
      <c r="D56" s="2">
        <f t="shared" si="7"/>
        <v>1249.8571428571429</v>
      </c>
      <c r="E56">
        <f t="shared" si="0"/>
        <v>27209</v>
      </c>
      <c r="F56" s="2"/>
      <c r="G56" s="2">
        <f t="shared" si="5"/>
        <v>163449.88768728587</v>
      </c>
      <c r="H56" s="2">
        <f t="shared" si="6"/>
        <v>8480.3178700162825</v>
      </c>
      <c r="I56" s="2">
        <f t="shared" si="8"/>
        <v>8069.7944426978665</v>
      </c>
      <c r="J56" s="2">
        <f t="shared" si="1"/>
        <v>-1166.75673687428</v>
      </c>
      <c r="K56" s="2">
        <f t="shared" si="2"/>
        <v>561.01974615883125</v>
      </c>
      <c r="L56" s="2">
        <f t="shared" si="3"/>
        <v>605.73699071544877</v>
      </c>
      <c r="N56">
        <f t="shared" si="4"/>
        <v>1166.75673687428</v>
      </c>
    </row>
    <row r="57" spans="2:14" x14ac:dyDescent="0.3">
      <c r="B57" s="1">
        <v>44034</v>
      </c>
      <c r="C57">
        <v>763</v>
      </c>
      <c r="D57" s="2">
        <f t="shared" si="7"/>
        <v>1164.8571428571429</v>
      </c>
      <c r="E57">
        <f t="shared" si="0"/>
        <v>27972</v>
      </c>
      <c r="F57" s="2"/>
      <c r="G57" s="2">
        <f t="shared" si="5"/>
        <v>162283.13095041158</v>
      </c>
      <c r="H57" s="2">
        <f t="shared" si="6"/>
        <v>9041.337616175113</v>
      </c>
      <c r="I57" s="2">
        <f t="shared" si="8"/>
        <v>8675.5314334133145</v>
      </c>
      <c r="J57" s="2">
        <f t="shared" si="1"/>
        <v>-1235.0644581924478</v>
      </c>
      <c r="K57" s="2">
        <f t="shared" si="2"/>
        <v>589.25462846565404</v>
      </c>
      <c r="L57" s="2">
        <f t="shared" si="3"/>
        <v>645.80982972679374</v>
      </c>
      <c r="N57">
        <f t="shared" si="4"/>
        <v>1235.0644581924478</v>
      </c>
    </row>
    <row r="58" spans="2:14" x14ac:dyDescent="0.3">
      <c r="B58" s="1">
        <v>44035</v>
      </c>
      <c r="C58">
        <v>1286</v>
      </c>
      <c r="D58" s="2">
        <f t="shared" si="7"/>
        <v>1116.7142857142858</v>
      </c>
      <c r="E58">
        <f t="shared" si="0"/>
        <v>29258</v>
      </c>
      <c r="F58" s="2"/>
      <c r="G58" s="2">
        <f t="shared" si="5"/>
        <v>161048.06649221914</v>
      </c>
      <c r="H58" s="2">
        <f t="shared" si="6"/>
        <v>9630.5922446407676</v>
      </c>
      <c r="I58" s="2">
        <f t="shared" si="8"/>
        <v>9321.3412631401079</v>
      </c>
      <c r="J58" s="2">
        <f t="shared" si="1"/>
        <v>-1305.5456735474379</v>
      </c>
      <c r="K58" s="2">
        <f t="shared" si="2"/>
        <v>617.64622750166882</v>
      </c>
      <c r="L58" s="2">
        <f t="shared" si="3"/>
        <v>687.89944604576908</v>
      </c>
      <c r="N58">
        <f t="shared" si="4"/>
        <v>1305.5456735474379</v>
      </c>
    </row>
    <row r="59" spans="2:14" x14ac:dyDescent="0.3">
      <c r="B59" s="1">
        <v>44036</v>
      </c>
      <c r="C59">
        <v>1150</v>
      </c>
      <c r="D59" s="2">
        <f t="shared" si="7"/>
        <v>1098.7142857142858</v>
      </c>
      <c r="E59">
        <f t="shared" si="0"/>
        <v>30408</v>
      </c>
      <c r="F59" s="2"/>
      <c r="G59" s="2">
        <f t="shared" si="5"/>
        <v>159742.52081867171</v>
      </c>
      <c r="H59" s="2">
        <f t="shared" si="6"/>
        <v>10248.238472142437</v>
      </c>
      <c r="I59" s="2">
        <f t="shared" si="8"/>
        <v>10009.240709185877</v>
      </c>
      <c r="J59" s="2">
        <f t="shared" si="1"/>
        <v>-1378.0130029384895</v>
      </c>
      <c r="K59" s="2">
        <f t="shared" si="2"/>
        <v>645.99596921402986</v>
      </c>
      <c r="L59" s="2">
        <f t="shared" si="3"/>
        <v>732.01703372445968</v>
      </c>
      <c r="N59">
        <f t="shared" si="4"/>
        <v>1378.0130029384895</v>
      </c>
    </row>
    <row r="60" spans="2:14" x14ac:dyDescent="0.3">
      <c r="B60" s="1">
        <v>44037</v>
      </c>
      <c r="C60">
        <v>990</v>
      </c>
      <c r="D60" s="2">
        <f t="shared" si="7"/>
        <v>1019.5714285714286</v>
      </c>
      <c r="E60">
        <f t="shared" si="0"/>
        <v>31398</v>
      </c>
      <c r="F60" s="2"/>
      <c r="G60" s="2">
        <f t="shared" si="5"/>
        <v>158364.5078157332</v>
      </c>
      <c r="H60" s="2">
        <f t="shared" si="6"/>
        <v>10894.234441356466</v>
      </c>
      <c r="I60" s="2">
        <f t="shared" si="8"/>
        <v>10741.257742910337</v>
      </c>
      <c r="J60" s="2">
        <f t="shared" si="1"/>
        <v>-1452.2391206520419</v>
      </c>
      <c r="K60" s="2">
        <f t="shared" si="2"/>
        <v>674.07951769800866</v>
      </c>
      <c r="L60" s="2">
        <f t="shared" si="3"/>
        <v>778.15960295403329</v>
      </c>
      <c r="N60">
        <f t="shared" si="4"/>
        <v>1452.2391206520419</v>
      </c>
    </row>
    <row r="61" spans="2:14" x14ac:dyDescent="0.3">
      <c r="B61" s="1">
        <v>44038</v>
      </c>
      <c r="C61">
        <v>1137</v>
      </c>
      <c r="D61" s="2">
        <f t="shared" si="7"/>
        <v>1023.8571428571429</v>
      </c>
      <c r="E61">
        <f t="shared" si="0"/>
        <v>32535</v>
      </c>
      <c r="F61" s="2"/>
      <c r="G61" s="2">
        <f t="shared" si="5"/>
        <v>156912.26869508115</v>
      </c>
      <c r="H61" s="2">
        <f t="shared" si="6"/>
        <v>11568.313959054474</v>
      </c>
      <c r="I61" s="2">
        <f t="shared" si="8"/>
        <v>11519.417345864371</v>
      </c>
      <c r="J61" s="2">
        <f t="shared" si="1"/>
        <v>-1527.9548722998434</v>
      </c>
      <c r="K61" s="2">
        <f t="shared" si="2"/>
        <v>701.64673236738099</v>
      </c>
      <c r="L61" s="2">
        <f t="shared" si="3"/>
        <v>826.30813993246238</v>
      </c>
      <c r="N61">
        <f t="shared" si="4"/>
        <v>1527.9548722998434</v>
      </c>
    </row>
    <row r="62" spans="2:14" x14ac:dyDescent="0.3">
      <c r="B62" s="1">
        <v>44039</v>
      </c>
      <c r="C62">
        <v>1029</v>
      </c>
      <c r="D62" s="2">
        <f t="shared" si="7"/>
        <v>1107.5714285714287</v>
      </c>
      <c r="E62">
        <f t="shared" si="0"/>
        <v>33564</v>
      </c>
      <c r="F62" s="2"/>
      <c r="G62" s="2">
        <f t="shared" si="5"/>
        <v>155384.31382278132</v>
      </c>
      <c r="H62" s="2">
        <f t="shared" si="6"/>
        <v>12269.960691421855</v>
      </c>
      <c r="I62" s="2">
        <f t="shared" si="8"/>
        <v>12345.725485796833</v>
      </c>
      <c r="J62" s="2">
        <f t="shared" si="1"/>
        <v>-1604.8479988797005</v>
      </c>
      <c r="K62" s="2">
        <f t="shared" si="2"/>
        <v>728.42223520671098</v>
      </c>
      <c r="L62" s="2">
        <f t="shared" si="3"/>
        <v>876.42576367298955</v>
      </c>
      <c r="N62">
        <f t="shared" si="4"/>
        <v>1604.8479988797005</v>
      </c>
    </row>
    <row r="63" spans="2:14" x14ac:dyDescent="0.3">
      <c r="B63" s="1">
        <v>44040</v>
      </c>
      <c r="C63">
        <v>782</v>
      </c>
      <c r="D63" s="2">
        <f t="shared" si="7"/>
        <v>1267.5714285714287</v>
      </c>
      <c r="E63">
        <f t="shared" si="0"/>
        <v>34346</v>
      </c>
      <c r="F63" s="2"/>
      <c r="G63" s="2">
        <f t="shared" si="5"/>
        <v>153779.46582390161</v>
      </c>
      <c r="H63" s="2">
        <f t="shared" si="6"/>
        <v>12998.382926628567</v>
      </c>
      <c r="I63" s="2">
        <f t="shared" si="8"/>
        <v>13222.151249469822</v>
      </c>
      <c r="J63" s="2">
        <f t="shared" si="1"/>
        <v>-1682.5626119793469</v>
      </c>
      <c r="K63" s="2">
        <f t="shared" si="2"/>
        <v>754.10668864873503</v>
      </c>
      <c r="L63" s="2">
        <f t="shared" si="3"/>
        <v>928.45592333061188</v>
      </c>
      <c r="N63">
        <f t="shared" si="4"/>
        <v>1682.5626119793469</v>
      </c>
    </row>
    <row r="64" spans="2:14" x14ac:dyDescent="0.3">
      <c r="B64" s="1">
        <v>44041</v>
      </c>
      <c r="C64">
        <v>793</v>
      </c>
      <c r="D64" s="2">
        <f t="shared" si="7"/>
        <v>1498.1428571428571</v>
      </c>
      <c r="E64">
        <f t="shared" si="0"/>
        <v>35139</v>
      </c>
      <c r="F64" s="2"/>
      <c r="G64" s="2">
        <f t="shared" si="5"/>
        <v>152096.90321192227</v>
      </c>
      <c r="H64" s="2">
        <f t="shared" si="6"/>
        <v>13752.489615277302</v>
      </c>
      <c r="I64" s="2">
        <f t="shared" si="8"/>
        <v>14150.607172800434</v>
      </c>
      <c r="J64" s="2">
        <f t="shared" si="1"/>
        <v>-1760.6995639207055</v>
      </c>
      <c r="K64" s="2">
        <f t="shared" si="2"/>
        <v>778.37887711518397</v>
      </c>
      <c r="L64" s="2">
        <f t="shared" si="3"/>
        <v>982.32068680552152</v>
      </c>
      <c r="N64">
        <f t="shared" si="4"/>
        <v>1760.6995639207055</v>
      </c>
    </row>
    <row r="65" spans="2:14" x14ac:dyDescent="0.3">
      <c r="B65" s="1">
        <v>44042</v>
      </c>
      <c r="C65">
        <v>1872</v>
      </c>
      <c r="D65" s="2">
        <f t="shared" si="7"/>
        <v>1715.8571428571429</v>
      </c>
      <c r="E65">
        <f t="shared" si="0"/>
        <v>37011</v>
      </c>
      <c r="F65" s="2"/>
      <c r="G65" s="2">
        <f t="shared" si="5"/>
        <v>150336.20364800157</v>
      </c>
      <c r="H65" s="2">
        <f t="shared" si="6"/>
        <v>14530.868492392485</v>
      </c>
      <c r="I65" s="2">
        <f t="shared" si="8"/>
        <v>15132.927859605956</v>
      </c>
      <c r="J65" s="2">
        <f t="shared" si="1"/>
        <v>-1838.8178492042478</v>
      </c>
      <c r="K65" s="2">
        <f t="shared" si="2"/>
        <v>800.89867117621316</v>
      </c>
      <c r="L65" s="2">
        <f t="shared" si="3"/>
        <v>1037.9191780280346</v>
      </c>
      <c r="N65">
        <f t="shared" si="4"/>
        <v>1838.8178492042478</v>
      </c>
    </row>
    <row r="66" spans="2:14" x14ac:dyDescent="0.3">
      <c r="B66" s="1">
        <v>44043</v>
      </c>
      <c r="C66">
        <v>2270</v>
      </c>
      <c r="D66" s="2">
        <f t="shared" si="7"/>
        <v>1788</v>
      </c>
      <c r="E66">
        <f t="shared" si="0"/>
        <v>39281</v>
      </c>
      <c r="F66" s="2"/>
      <c r="G66" s="2">
        <f t="shared" si="5"/>
        <v>148497.38579879733</v>
      </c>
      <c r="H66" s="2">
        <f t="shared" si="6"/>
        <v>15331.767163568698</v>
      </c>
      <c r="I66" s="2">
        <f t="shared" si="8"/>
        <v>16170.84703763399</v>
      </c>
      <c r="J66" s="2">
        <f t="shared" si="1"/>
        <v>-1916.4371577994896</v>
      </c>
      <c r="K66" s="2">
        <f t="shared" si="2"/>
        <v>821.31093183029679</v>
      </c>
      <c r="L66" s="2">
        <f t="shared" si="3"/>
        <v>1095.1262259691928</v>
      </c>
      <c r="N66">
        <f t="shared" si="4"/>
        <v>1916.4371577994896</v>
      </c>
    </row>
    <row r="67" spans="2:14" x14ac:dyDescent="0.3">
      <c r="B67" s="1">
        <v>44044</v>
      </c>
      <c r="C67">
        <v>2604</v>
      </c>
      <c r="D67" s="2">
        <f t="shared" si="7"/>
        <v>2099.5714285714284</v>
      </c>
      <c r="E67">
        <f t="shared" si="0"/>
        <v>41885</v>
      </c>
      <c r="F67" s="2"/>
      <c r="G67" s="2">
        <f t="shared" si="5"/>
        <v>146580.94864099784</v>
      </c>
      <c r="H67" s="2">
        <f t="shared" si="6"/>
        <v>16153.078095398996</v>
      </c>
      <c r="I67" s="2">
        <f t="shared" si="8"/>
        <v>17265.973263603184</v>
      </c>
      <c r="J67" s="2">
        <f t="shared" si="1"/>
        <v>-1993.0416756697873</v>
      </c>
      <c r="K67" s="2">
        <f t="shared" si="2"/>
        <v>839.25038314128756</v>
      </c>
      <c r="L67" s="2">
        <f t="shared" si="3"/>
        <v>1153.7912925284998</v>
      </c>
      <c r="N67">
        <f t="shared" si="4"/>
        <v>1993.0416756697873</v>
      </c>
    </row>
    <row r="68" spans="2:14" x14ac:dyDescent="0.3">
      <c r="B68" s="1">
        <v>44045</v>
      </c>
      <c r="C68">
        <v>2661</v>
      </c>
      <c r="D68" s="2">
        <f t="shared" si="7"/>
        <v>2324.8571428571427</v>
      </c>
      <c r="E68">
        <f t="shared" si="0"/>
        <v>44546</v>
      </c>
      <c r="F68" s="2"/>
      <c r="G68" s="2">
        <f t="shared" si="5"/>
        <v>144587.90696532806</v>
      </c>
      <c r="H68" s="2">
        <f t="shared" si="6"/>
        <v>16992.328478540283</v>
      </c>
      <c r="I68" s="2">
        <f t="shared" si="8"/>
        <v>18419.764556131682</v>
      </c>
      <c r="J68" s="2">
        <f t="shared" si="1"/>
        <v>-2068.0851929120176</v>
      </c>
      <c r="K68" s="2">
        <f t="shared" si="2"/>
        <v>854.34744444485455</v>
      </c>
      <c r="L68" s="2">
        <f t="shared" si="3"/>
        <v>1213.7377484671631</v>
      </c>
      <c r="N68">
        <f t="shared" si="4"/>
        <v>2068.0851929120176</v>
      </c>
    </row>
    <row r="69" spans="2:14" x14ac:dyDescent="0.3">
      <c r="B69" s="1">
        <v>44046</v>
      </c>
      <c r="C69">
        <v>1534</v>
      </c>
      <c r="D69" s="2">
        <f t="shared" si="7"/>
        <v>2342.4285714285716</v>
      </c>
      <c r="E69">
        <f t="shared" si="0"/>
        <v>46080</v>
      </c>
      <c r="F69" s="2"/>
      <c r="G69" s="2">
        <f t="shared" si="5"/>
        <v>142519.82177241603</v>
      </c>
      <c r="H69" s="2">
        <f t="shared" si="6"/>
        <v>17846.675922985138</v>
      </c>
      <c r="I69" s="2">
        <f t="shared" si="8"/>
        <v>19633.502304598846</v>
      </c>
      <c r="J69" s="2">
        <f t="shared" si="1"/>
        <v>-2140.9975351632243</v>
      </c>
      <c r="K69" s="2">
        <f t="shared" si="2"/>
        <v>866.23496923571452</v>
      </c>
      <c r="L69" s="2">
        <f t="shared" si="3"/>
        <v>1274.7625659275097</v>
      </c>
      <c r="N69">
        <f t="shared" si="4"/>
        <v>2140.9975351632243</v>
      </c>
    </row>
    <row r="70" spans="2:14" x14ac:dyDescent="0.3">
      <c r="B70" s="1">
        <v>44047</v>
      </c>
      <c r="C70">
        <v>2963</v>
      </c>
      <c r="D70" s="2">
        <f t="shared" si="7"/>
        <v>2276</v>
      </c>
      <c r="E70">
        <f t="shared" si="0"/>
        <v>49043</v>
      </c>
      <c r="F70" s="2"/>
      <c r="G70" s="2">
        <f t="shared" si="5"/>
        <v>140378.82423725282</v>
      </c>
      <c r="H70" s="2">
        <f t="shared" si="6"/>
        <v>18712.910892220851</v>
      </c>
      <c r="I70" s="2">
        <f t="shared" si="8"/>
        <v>20908.264870526356</v>
      </c>
      <c r="J70" s="2">
        <f t="shared" si="1"/>
        <v>-2211.19228039263</v>
      </c>
      <c r="K70" s="2">
        <f t="shared" si="2"/>
        <v>874.55578809114081</v>
      </c>
      <c r="L70" s="2">
        <f t="shared" si="3"/>
        <v>1336.6364923014892</v>
      </c>
      <c r="N70">
        <f t="shared" si="4"/>
        <v>2211.19228039263</v>
      </c>
    </row>
    <row r="71" spans="2:14" x14ac:dyDescent="0.3">
      <c r="B71" s="1">
        <v>44048</v>
      </c>
      <c r="C71">
        <v>2370</v>
      </c>
      <c r="D71" s="2">
        <f t="shared" si="7"/>
        <v>2287.8571428571427</v>
      </c>
      <c r="E71">
        <f t="shared" ref="E71:E134" si="9">C71+E70</f>
        <v>51413</v>
      </c>
      <c r="F71" s="2"/>
      <c r="G71" s="2">
        <f t="shared" si="5"/>
        <v>138167.63195686019</v>
      </c>
      <c r="H71" s="2">
        <f t="shared" si="6"/>
        <v>19587.466680311991</v>
      </c>
      <c r="I71" s="2">
        <f t="shared" si="8"/>
        <v>22244.901362827844</v>
      </c>
      <c r="J71" s="2">
        <f t="shared" ref="J71:J134" si="10">-C$1*G71*H71/C$3</f>
        <v>-2278.0756626705465</v>
      </c>
      <c r="K71" s="2">
        <f t="shared" ref="K71:K134" si="11">-J71-L71</f>
        <v>878.97089979111865</v>
      </c>
      <c r="L71" s="2">
        <f t="shared" ref="L71:L134" si="12">C$2*H71</f>
        <v>1399.1047628794279</v>
      </c>
      <c r="N71">
        <f t="shared" ref="N71:N134" si="13">(C$1*G71*H71)/C$3</f>
        <v>2278.0756626705465</v>
      </c>
    </row>
    <row r="72" spans="2:14" x14ac:dyDescent="0.3">
      <c r="B72" s="1">
        <v>44049</v>
      </c>
      <c r="C72">
        <v>1995</v>
      </c>
      <c r="D72" s="2">
        <f t="shared" si="7"/>
        <v>2144</v>
      </c>
      <c r="E72">
        <f t="shared" si="9"/>
        <v>53408</v>
      </c>
      <c r="F72" s="2"/>
      <c r="G72" s="2">
        <f t="shared" ref="G72:H135" si="14">G71+J71</f>
        <v>135889.55629418965</v>
      </c>
      <c r="H72" s="2">
        <f t="shared" si="14"/>
        <v>20466.437580103109</v>
      </c>
      <c r="I72" s="2">
        <f t="shared" si="8"/>
        <v>23644.006125707274</v>
      </c>
      <c r="J72" s="2">
        <f t="shared" si="10"/>
        <v>-2341.0564997331144</v>
      </c>
      <c r="K72" s="2">
        <f t="shared" si="11"/>
        <v>879.16810115432099</v>
      </c>
      <c r="L72" s="2">
        <f t="shared" si="12"/>
        <v>1461.8883985787934</v>
      </c>
      <c r="N72">
        <f t="shared" si="13"/>
        <v>2341.0564997331144</v>
      </c>
    </row>
    <row r="73" spans="2:14" x14ac:dyDescent="0.3">
      <c r="B73" s="1">
        <v>44050</v>
      </c>
      <c r="C73">
        <v>1805</v>
      </c>
      <c r="D73" s="2">
        <f t="shared" ref="D73:D136" si="15">AVERAGE(C70:C76)</f>
        <v>2519.4285714285716</v>
      </c>
      <c r="E73">
        <f t="shared" si="9"/>
        <v>55213</v>
      </c>
      <c r="F73" s="2"/>
      <c r="G73" s="2">
        <f t="shared" si="14"/>
        <v>133548.49979445653</v>
      </c>
      <c r="H73" s="2">
        <f t="shared" si="14"/>
        <v>21345.605681257432</v>
      </c>
      <c r="I73" s="2">
        <f t="shared" ref="I73:I136" si="16">I72+L72</f>
        <v>25105.894524286068</v>
      </c>
      <c r="J73" s="2">
        <f t="shared" si="10"/>
        <v>-2399.5569157710083</v>
      </c>
      <c r="K73" s="2">
        <f t="shared" si="11"/>
        <v>874.87079568119179</v>
      </c>
      <c r="L73" s="2">
        <f t="shared" si="12"/>
        <v>1524.6861200898165</v>
      </c>
      <c r="N73">
        <f t="shared" si="13"/>
        <v>2399.5569157710083</v>
      </c>
    </row>
    <row r="74" spans="2:14" x14ac:dyDescent="0.3">
      <c r="B74" s="1">
        <v>44051</v>
      </c>
      <c r="C74">
        <v>2687</v>
      </c>
      <c r="D74" s="2">
        <f t="shared" si="15"/>
        <v>2303.7142857142858</v>
      </c>
      <c r="E74">
        <f t="shared" si="9"/>
        <v>57900</v>
      </c>
      <c r="F74" s="2"/>
      <c r="G74" s="2">
        <f t="shared" si="14"/>
        <v>131148.94287868551</v>
      </c>
      <c r="H74" s="2">
        <f t="shared" si="14"/>
        <v>22220.476476938624</v>
      </c>
      <c r="I74" s="2">
        <f t="shared" si="16"/>
        <v>26630.580644375885</v>
      </c>
      <c r="J74" s="2">
        <f t="shared" si="10"/>
        <v>-2453.0235692013457</v>
      </c>
      <c r="K74" s="2">
        <f t="shared" si="11"/>
        <v>865.84667799144404</v>
      </c>
      <c r="L74" s="2">
        <f t="shared" si="12"/>
        <v>1587.1768912099017</v>
      </c>
      <c r="N74">
        <f t="shared" si="13"/>
        <v>2453.0235692013457</v>
      </c>
    </row>
    <row r="75" spans="2:14" x14ac:dyDescent="0.3">
      <c r="B75" s="1">
        <v>44052</v>
      </c>
      <c r="C75">
        <v>1654</v>
      </c>
      <c r="D75" s="2">
        <f t="shared" si="15"/>
        <v>2325</v>
      </c>
      <c r="E75">
        <f t="shared" si="9"/>
        <v>59554</v>
      </c>
      <c r="F75" s="2"/>
      <c r="G75" s="2">
        <f t="shared" si="14"/>
        <v>128695.91930948416</v>
      </c>
      <c r="H75" s="2">
        <f t="shared" si="14"/>
        <v>23086.323154930069</v>
      </c>
      <c r="I75" s="2">
        <f t="shared" si="16"/>
        <v>28217.757535585788</v>
      </c>
      <c r="J75" s="2">
        <f t="shared" si="10"/>
        <v>-2500.9390420029931</v>
      </c>
      <c r="K75" s="2">
        <f t="shared" si="11"/>
        <v>851.91595950798819</v>
      </c>
      <c r="L75" s="2">
        <f t="shared" si="12"/>
        <v>1649.0230824950049</v>
      </c>
      <c r="N75">
        <f t="shared" si="13"/>
        <v>2500.9390420029931</v>
      </c>
    </row>
    <row r="76" spans="2:14" x14ac:dyDescent="0.3">
      <c r="B76" s="1">
        <v>44053</v>
      </c>
      <c r="C76">
        <v>4162</v>
      </c>
      <c r="D76" s="2">
        <f t="shared" si="15"/>
        <v>2382.1428571428573</v>
      </c>
      <c r="E76">
        <f t="shared" si="9"/>
        <v>63716</v>
      </c>
      <c r="F76" s="2"/>
      <c r="G76" s="2">
        <f t="shared" si="14"/>
        <v>126194.98026748117</v>
      </c>
      <c r="H76" s="2">
        <f t="shared" si="14"/>
        <v>23938.239114438056</v>
      </c>
      <c r="I76" s="2">
        <f t="shared" si="16"/>
        <v>29866.780618080793</v>
      </c>
      <c r="J76" s="2">
        <f t="shared" si="10"/>
        <v>-2542.8330073104012</v>
      </c>
      <c r="K76" s="2">
        <f t="shared" si="11"/>
        <v>832.95878485054004</v>
      </c>
      <c r="L76" s="2">
        <f t="shared" si="12"/>
        <v>1709.8742224598611</v>
      </c>
      <c r="N76">
        <f t="shared" si="13"/>
        <v>2542.8330073104012</v>
      </c>
    </row>
    <row r="77" spans="2:14" x14ac:dyDescent="0.3">
      <c r="B77" s="1">
        <v>44054</v>
      </c>
      <c r="C77">
        <v>1453</v>
      </c>
      <c r="D77" s="2">
        <f t="shared" si="15"/>
        <v>2665.2857142857142</v>
      </c>
      <c r="E77">
        <f t="shared" si="9"/>
        <v>65169</v>
      </c>
      <c r="F77" s="2"/>
      <c r="G77" s="2">
        <f t="shared" si="14"/>
        <v>123652.14726017076</v>
      </c>
      <c r="H77" s="2">
        <f t="shared" si="14"/>
        <v>24771.197899288596</v>
      </c>
      <c r="I77" s="2">
        <f t="shared" si="16"/>
        <v>31576.654840540654</v>
      </c>
      <c r="J77" s="2">
        <f t="shared" si="10"/>
        <v>-2578.2927697421433</v>
      </c>
      <c r="K77" s="2">
        <f t="shared" si="11"/>
        <v>808.92149122152932</v>
      </c>
      <c r="L77" s="2">
        <f t="shared" si="12"/>
        <v>1769.3712785206139</v>
      </c>
      <c r="N77">
        <f t="shared" si="13"/>
        <v>2578.2927697421433</v>
      </c>
    </row>
    <row r="78" spans="2:14" x14ac:dyDescent="0.3">
      <c r="B78" s="1">
        <v>44055</v>
      </c>
      <c r="C78">
        <v>2519</v>
      </c>
      <c r="D78" s="2">
        <f t="shared" si="15"/>
        <v>2627.8571428571427</v>
      </c>
      <c r="E78">
        <f t="shared" si="9"/>
        <v>67688</v>
      </c>
      <c r="F78" s="2"/>
      <c r="G78" s="2">
        <f t="shared" si="14"/>
        <v>121073.85449042862</v>
      </c>
      <c r="H78" s="2">
        <f t="shared" si="14"/>
        <v>25580.119390510125</v>
      </c>
      <c r="I78" s="2">
        <f t="shared" si="16"/>
        <v>33346.026119061265</v>
      </c>
      <c r="J78" s="2">
        <f t="shared" si="10"/>
        <v>-2606.9727718303152</v>
      </c>
      <c r="K78" s="2">
        <f t="shared" si="11"/>
        <v>779.82138679387776</v>
      </c>
      <c r="L78" s="2">
        <f t="shared" si="12"/>
        <v>1827.1513850364374</v>
      </c>
      <c r="N78">
        <f t="shared" si="13"/>
        <v>2606.9727718303152</v>
      </c>
    </row>
    <row r="79" spans="2:14" x14ac:dyDescent="0.3">
      <c r="B79" s="1">
        <v>44056</v>
      </c>
      <c r="C79">
        <v>2395</v>
      </c>
      <c r="D79" s="2">
        <f t="shared" si="15"/>
        <v>2679.7142857142858</v>
      </c>
      <c r="E79">
        <f t="shared" si="9"/>
        <v>70083</v>
      </c>
      <c r="F79" s="2"/>
      <c r="G79" s="2">
        <f t="shared" si="14"/>
        <v>118466.88171859831</v>
      </c>
      <c r="H79" s="2">
        <f t="shared" si="14"/>
        <v>26359.940777304004</v>
      </c>
      <c r="I79" s="2">
        <f t="shared" si="16"/>
        <v>35173.177504097701</v>
      </c>
      <c r="J79" s="2">
        <f t="shared" si="10"/>
        <v>-2628.6026819647559</v>
      </c>
      <c r="K79" s="2">
        <f t="shared" si="11"/>
        <v>745.7497693001842</v>
      </c>
      <c r="L79" s="2">
        <f t="shared" si="12"/>
        <v>1882.8529126645717</v>
      </c>
      <c r="N79">
        <f t="shared" si="13"/>
        <v>2628.6026819647559</v>
      </c>
    </row>
    <row r="80" spans="2:14" x14ac:dyDescent="0.3">
      <c r="B80" s="1">
        <v>44057</v>
      </c>
      <c r="C80">
        <v>3787</v>
      </c>
      <c r="D80" s="2">
        <f t="shared" si="15"/>
        <v>2356.1428571428573</v>
      </c>
      <c r="E80">
        <f t="shared" si="9"/>
        <v>73870</v>
      </c>
      <c r="F80" s="2"/>
      <c r="G80" s="2">
        <f t="shared" si="14"/>
        <v>115838.27903663355</v>
      </c>
      <c r="H80" s="2">
        <f t="shared" si="14"/>
        <v>27105.690546604186</v>
      </c>
      <c r="I80" s="2">
        <f t="shared" si="16"/>
        <v>37056.030416762274</v>
      </c>
      <c r="J80" s="2">
        <f t="shared" si="10"/>
        <v>-2642.993724762774</v>
      </c>
      <c r="K80" s="2">
        <f t="shared" si="11"/>
        <v>706.87297143390379</v>
      </c>
      <c r="L80" s="2">
        <f t="shared" si="12"/>
        <v>1936.1207533288703</v>
      </c>
      <c r="N80">
        <f t="shared" si="13"/>
        <v>2642.993724762774</v>
      </c>
    </row>
    <row r="81" spans="2:14" x14ac:dyDescent="0.3">
      <c r="B81" s="1">
        <v>44058</v>
      </c>
      <c r="C81">
        <v>2425</v>
      </c>
      <c r="D81" s="2">
        <f t="shared" si="15"/>
        <v>2564.5714285714284</v>
      </c>
      <c r="E81">
        <f t="shared" si="9"/>
        <v>76295</v>
      </c>
      <c r="F81" s="2"/>
      <c r="G81" s="2">
        <f t="shared" si="14"/>
        <v>113195.28531187079</v>
      </c>
      <c r="H81" s="2">
        <f t="shared" si="14"/>
        <v>27812.563518038089</v>
      </c>
      <c r="I81" s="2">
        <f t="shared" si="16"/>
        <v>38992.151170091143</v>
      </c>
      <c r="J81" s="2">
        <f t="shared" si="10"/>
        <v>-2650.0429820529043</v>
      </c>
      <c r="K81" s="2">
        <f t="shared" si="11"/>
        <v>663.43130219304089</v>
      </c>
      <c r="L81" s="2">
        <f t="shared" si="12"/>
        <v>1986.6116798598634</v>
      </c>
      <c r="N81">
        <f t="shared" si="13"/>
        <v>2650.0429820529043</v>
      </c>
    </row>
    <row r="82" spans="2:14" x14ac:dyDescent="0.3">
      <c r="B82" s="1">
        <v>44059</v>
      </c>
      <c r="C82">
        <v>2017</v>
      </c>
      <c r="D82" s="2">
        <f t="shared" si="15"/>
        <v>2634.5714285714284</v>
      </c>
      <c r="E82">
        <f t="shared" si="9"/>
        <v>78312</v>
      </c>
      <c r="F82" s="2"/>
      <c r="G82" s="2">
        <f t="shared" si="14"/>
        <v>110545.24232981788</v>
      </c>
      <c r="H82" s="2">
        <f t="shared" si="14"/>
        <v>28475.994820231128</v>
      </c>
      <c r="I82" s="2">
        <f t="shared" si="16"/>
        <v>40978.76284995101</v>
      </c>
      <c r="J82" s="2">
        <f t="shared" si="10"/>
        <v>-2649.7354781019262</v>
      </c>
      <c r="K82" s="2">
        <f t="shared" si="11"/>
        <v>615.73584808541727</v>
      </c>
      <c r="L82" s="2">
        <f t="shared" si="12"/>
        <v>2033.9996300165089</v>
      </c>
      <c r="N82">
        <f t="shared" si="13"/>
        <v>2649.7354781019262</v>
      </c>
    </row>
    <row r="83" spans="2:14" x14ac:dyDescent="0.3">
      <c r="B83" s="1">
        <v>44060</v>
      </c>
      <c r="C83">
        <v>1897</v>
      </c>
      <c r="D83" s="2">
        <f t="shared" si="15"/>
        <v>2651.5714285714284</v>
      </c>
      <c r="E83">
        <f t="shared" si="9"/>
        <v>80209</v>
      </c>
      <c r="F83" s="2"/>
      <c r="G83" s="2">
        <f t="shared" si="14"/>
        <v>107895.50685171595</v>
      </c>
      <c r="H83" s="2">
        <f t="shared" si="14"/>
        <v>29091.730668316544</v>
      </c>
      <c r="I83" s="2">
        <f t="shared" si="16"/>
        <v>43012.762479967518</v>
      </c>
      <c r="J83" s="2">
        <f t="shared" si="10"/>
        <v>-2642.1439609862146</v>
      </c>
      <c r="K83" s="2">
        <f t="shared" si="11"/>
        <v>564.16319896360437</v>
      </c>
      <c r="L83" s="2">
        <f t="shared" si="12"/>
        <v>2077.9807620226102</v>
      </c>
      <c r="N83">
        <f t="shared" si="13"/>
        <v>2642.1439609862146</v>
      </c>
    </row>
    <row r="84" spans="2:14" x14ac:dyDescent="0.3">
      <c r="B84" s="1">
        <v>44061</v>
      </c>
      <c r="C84">
        <v>2912</v>
      </c>
      <c r="D84" s="2">
        <f t="shared" si="15"/>
        <v>2492.1428571428573</v>
      </c>
      <c r="E84">
        <f t="shared" si="9"/>
        <v>83121</v>
      </c>
      <c r="F84" s="2"/>
      <c r="G84" s="2">
        <f t="shared" si="14"/>
        <v>105253.36289072974</v>
      </c>
      <c r="H84" s="2">
        <f t="shared" si="14"/>
        <v>29655.893867280149</v>
      </c>
      <c r="I84" s="2">
        <f t="shared" si="16"/>
        <v>45090.743241990131</v>
      </c>
      <c r="J84" s="2">
        <f t="shared" si="10"/>
        <v>-2627.4263965166701</v>
      </c>
      <c r="K84" s="2">
        <f t="shared" si="11"/>
        <v>509.14826313951698</v>
      </c>
      <c r="L84" s="2">
        <f t="shared" si="12"/>
        <v>2118.2781333771532</v>
      </c>
      <c r="N84">
        <f t="shared" si="13"/>
        <v>2627.4263965166701</v>
      </c>
    </row>
    <row r="85" spans="2:14" x14ac:dyDescent="0.3">
      <c r="B85" s="1">
        <v>44062</v>
      </c>
      <c r="C85">
        <v>3009</v>
      </c>
      <c r="D85" s="2">
        <f t="shared" si="15"/>
        <v>2544.5714285714284</v>
      </c>
      <c r="E85">
        <f t="shared" si="9"/>
        <v>86130</v>
      </c>
      <c r="F85" s="2"/>
      <c r="G85" s="2">
        <f t="shared" si="14"/>
        <v>102625.93649421306</v>
      </c>
      <c r="H85" s="2">
        <f t="shared" si="14"/>
        <v>30165.042130419664</v>
      </c>
      <c r="I85" s="2">
        <f t="shared" si="16"/>
        <v>47209.021375367287</v>
      </c>
      <c r="J85" s="2">
        <f t="shared" si="10"/>
        <v>-2605.8212946310691</v>
      </c>
      <c r="K85" s="2">
        <f t="shared" si="11"/>
        <v>451.17542817252161</v>
      </c>
      <c r="L85" s="2">
        <f t="shared" si="12"/>
        <v>2154.6458664585475</v>
      </c>
      <c r="N85">
        <f t="shared" si="13"/>
        <v>2605.8212946310691</v>
      </c>
    </row>
    <row r="86" spans="2:14" x14ac:dyDescent="0.3">
      <c r="B86" s="1">
        <v>44063</v>
      </c>
      <c r="C86">
        <v>2514</v>
      </c>
      <c r="D86" s="2">
        <f t="shared" si="15"/>
        <v>2400.7142857142858</v>
      </c>
      <c r="E86">
        <f t="shared" si="9"/>
        <v>88644</v>
      </c>
      <c r="F86" s="2"/>
      <c r="G86" s="2">
        <f t="shared" si="14"/>
        <v>100020.115199582</v>
      </c>
      <c r="H86" s="2">
        <f t="shared" si="14"/>
        <v>30616.217558592187</v>
      </c>
      <c r="I86" s="2">
        <f t="shared" si="16"/>
        <v>49363.667241825831</v>
      </c>
      <c r="J86" s="2">
        <f t="shared" si="10"/>
        <v>-2577.6410834897774</v>
      </c>
      <c r="K86" s="2">
        <f t="shared" si="11"/>
        <v>390.76840073319272</v>
      </c>
      <c r="L86" s="2">
        <f t="shared" si="12"/>
        <v>2186.8726827565847</v>
      </c>
      <c r="N86">
        <f t="shared" si="13"/>
        <v>2577.6410834897774</v>
      </c>
    </row>
    <row r="87" spans="2:14" x14ac:dyDescent="0.3">
      <c r="B87" s="1">
        <v>44064</v>
      </c>
      <c r="C87">
        <v>2671</v>
      </c>
      <c r="D87" s="2">
        <f t="shared" si="15"/>
        <v>2482.1428571428573</v>
      </c>
      <c r="E87">
        <f t="shared" si="9"/>
        <v>91315</v>
      </c>
      <c r="F87" s="2"/>
      <c r="G87" s="2">
        <f t="shared" si="14"/>
        <v>97442.474116092213</v>
      </c>
      <c r="H87" s="2">
        <f t="shared" si="14"/>
        <v>31006.985959325379</v>
      </c>
      <c r="I87" s="2">
        <f t="shared" si="16"/>
        <v>51550.539924582416</v>
      </c>
      <c r="J87" s="2">
        <f t="shared" si="10"/>
        <v>-2543.2638272387189</v>
      </c>
      <c r="K87" s="2">
        <f t="shared" si="11"/>
        <v>328.47911585833481</v>
      </c>
      <c r="L87" s="2">
        <f t="shared" si="12"/>
        <v>2214.7847113803841</v>
      </c>
      <c r="N87">
        <f t="shared" si="13"/>
        <v>2543.2638272387189</v>
      </c>
    </row>
    <row r="88" spans="2:14" x14ac:dyDescent="0.3">
      <c r="B88" s="1">
        <v>44065</v>
      </c>
      <c r="C88">
        <v>2792</v>
      </c>
      <c r="D88" s="2">
        <f t="shared" si="15"/>
        <v>2290.8571428571427</v>
      </c>
      <c r="E88">
        <f t="shared" si="9"/>
        <v>94107</v>
      </c>
      <c r="F88" s="2"/>
      <c r="G88" s="2">
        <f t="shared" si="14"/>
        <v>94899.210288853501</v>
      </c>
      <c r="H88" s="2">
        <f t="shared" si="14"/>
        <v>31335.465075183714</v>
      </c>
      <c r="I88" s="2">
        <f t="shared" si="16"/>
        <v>53765.324635962803</v>
      </c>
      <c r="J88" s="2">
        <f t="shared" si="10"/>
        <v>-2503.1236445024274</v>
      </c>
      <c r="K88" s="2">
        <f t="shared" si="11"/>
        <v>264.87613913216228</v>
      </c>
      <c r="L88" s="2">
        <f t="shared" si="12"/>
        <v>2238.2475053702651</v>
      </c>
      <c r="N88">
        <f t="shared" si="13"/>
        <v>2503.1236445024274</v>
      </c>
    </row>
    <row r="89" spans="2:14" x14ac:dyDescent="0.3">
      <c r="B89" s="1">
        <v>44066</v>
      </c>
      <c r="C89">
        <v>1010</v>
      </c>
      <c r="D89" s="2">
        <f t="shared" si="15"/>
        <v>2303.7142857142858</v>
      </c>
      <c r="E89">
        <f t="shared" si="9"/>
        <v>95117</v>
      </c>
      <c r="F89" s="2"/>
      <c r="G89" s="2">
        <f t="shared" si="14"/>
        <v>92396.086644351075</v>
      </c>
      <c r="H89" s="2">
        <f t="shared" si="14"/>
        <v>31600.341214315878</v>
      </c>
      <c r="I89" s="2">
        <f t="shared" si="16"/>
        <v>56003.572141333068</v>
      </c>
      <c r="J89" s="2">
        <f t="shared" si="10"/>
        <v>-2457.7002229200239</v>
      </c>
      <c r="K89" s="2">
        <f t="shared" si="11"/>
        <v>200.53299332603274</v>
      </c>
      <c r="L89" s="2">
        <f t="shared" si="12"/>
        <v>2257.1672295939911</v>
      </c>
      <c r="N89">
        <f t="shared" si="13"/>
        <v>2457.7002229200239</v>
      </c>
    </row>
    <row r="90" spans="2:14" x14ac:dyDescent="0.3">
      <c r="B90" s="1">
        <v>44067</v>
      </c>
      <c r="C90">
        <v>2467</v>
      </c>
      <c r="D90" s="2">
        <f t="shared" si="15"/>
        <v>2167.8571428571427</v>
      </c>
      <c r="E90">
        <f t="shared" si="9"/>
        <v>97584</v>
      </c>
      <c r="F90" s="2"/>
      <c r="G90" s="2">
        <f t="shared" si="14"/>
        <v>89938.386421431045</v>
      </c>
      <c r="H90" s="2">
        <f t="shared" si="14"/>
        <v>31800.874207641911</v>
      </c>
      <c r="I90" s="2">
        <f t="shared" si="16"/>
        <v>58260.739370927062</v>
      </c>
      <c r="J90" s="2">
        <f t="shared" si="10"/>
        <v>-2407.507839247658</v>
      </c>
      <c r="K90" s="2">
        <f t="shared" si="11"/>
        <v>136.01682441609319</v>
      </c>
      <c r="L90" s="2">
        <f t="shared" si="12"/>
        <v>2271.4910148315648</v>
      </c>
      <c r="N90">
        <f t="shared" si="13"/>
        <v>2407.507839247658</v>
      </c>
    </row>
    <row r="91" spans="2:14" x14ac:dyDescent="0.3">
      <c r="B91" s="1">
        <v>44068</v>
      </c>
      <c r="C91">
        <v>1573</v>
      </c>
      <c r="D91" s="2">
        <f t="shared" si="15"/>
        <v>2081.5714285714284</v>
      </c>
      <c r="E91">
        <f t="shared" si="9"/>
        <v>99157</v>
      </c>
      <c r="F91" s="2"/>
      <c r="G91" s="2">
        <f t="shared" si="14"/>
        <v>87530.878582183388</v>
      </c>
      <c r="H91" s="2">
        <f t="shared" si="14"/>
        <v>31936.891032058003</v>
      </c>
      <c r="I91" s="2">
        <f t="shared" si="16"/>
        <v>60532.230385758623</v>
      </c>
      <c r="J91" s="2">
        <f t="shared" si="10"/>
        <v>-2353.0842855382916</v>
      </c>
      <c r="K91" s="2">
        <f t="shared" si="11"/>
        <v>71.877783248434298</v>
      </c>
      <c r="L91" s="2">
        <f t="shared" si="12"/>
        <v>2281.2065022898573</v>
      </c>
      <c r="N91">
        <f t="shared" si="13"/>
        <v>2353.0842855382916</v>
      </c>
    </row>
    <row r="92" spans="2:14" x14ac:dyDescent="0.3">
      <c r="B92" s="1">
        <v>44069</v>
      </c>
      <c r="C92">
        <v>3099</v>
      </c>
      <c r="D92" s="2">
        <f t="shared" si="15"/>
        <v>1967.1428571428571</v>
      </c>
      <c r="E92">
        <f t="shared" si="9"/>
        <v>102256</v>
      </c>
      <c r="F92" s="2"/>
      <c r="G92" s="2">
        <f t="shared" si="14"/>
        <v>85177.794296645094</v>
      </c>
      <c r="H92" s="2">
        <f t="shared" si="14"/>
        <v>32008.768815306437</v>
      </c>
      <c r="I92" s="2">
        <f t="shared" si="16"/>
        <v>62813.436888048484</v>
      </c>
      <c r="J92" s="2">
        <f t="shared" si="10"/>
        <v>-2294.9800722550845</v>
      </c>
      <c r="K92" s="2">
        <f t="shared" si="11"/>
        <v>8.6394425903390584</v>
      </c>
      <c r="L92" s="2">
        <f t="shared" si="12"/>
        <v>2286.3406296647454</v>
      </c>
      <c r="N92">
        <f t="shared" si="13"/>
        <v>2294.9800722550845</v>
      </c>
    </row>
    <row r="93" spans="2:14" x14ac:dyDescent="0.3">
      <c r="B93" s="1">
        <v>44070</v>
      </c>
      <c r="C93">
        <v>1563</v>
      </c>
      <c r="D93" s="2">
        <f t="shared" si="15"/>
        <v>2135</v>
      </c>
      <c r="E93">
        <f t="shared" si="9"/>
        <v>103819</v>
      </c>
      <c r="F93" s="2"/>
      <c r="G93" s="2">
        <f t="shared" si="14"/>
        <v>82882.814224390007</v>
      </c>
      <c r="H93" s="2">
        <f t="shared" si="14"/>
        <v>32017.408257896775</v>
      </c>
      <c r="I93" s="2">
        <f t="shared" si="16"/>
        <v>65099.777517713228</v>
      </c>
      <c r="J93" s="2">
        <f t="shared" si="10"/>
        <v>-2233.7482328162532</v>
      </c>
      <c r="K93" s="2">
        <f t="shared" si="11"/>
        <v>-53.209499890659117</v>
      </c>
      <c r="L93" s="2">
        <f t="shared" si="12"/>
        <v>2286.9577327069123</v>
      </c>
      <c r="N93">
        <f t="shared" si="13"/>
        <v>2233.7482328162532</v>
      </c>
    </row>
    <row r="94" spans="2:14" x14ac:dyDescent="0.3">
      <c r="B94" s="1">
        <v>44071</v>
      </c>
      <c r="C94">
        <v>2067</v>
      </c>
      <c r="D94" s="2">
        <f t="shared" si="15"/>
        <v>2051.1428571428573</v>
      </c>
      <c r="E94">
        <f t="shared" si="9"/>
        <v>105886</v>
      </c>
      <c r="F94" s="2"/>
      <c r="G94" s="2">
        <f t="shared" si="14"/>
        <v>80649.065991573749</v>
      </c>
      <c r="H94" s="2">
        <f t="shared" si="14"/>
        <v>31964.198758006118</v>
      </c>
      <c r="I94" s="2">
        <f t="shared" si="16"/>
        <v>67386.735250420141</v>
      </c>
      <c r="J94" s="2">
        <f t="shared" si="10"/>
        <v>-2169.9349957931099</v>
      </c>
      <c r="K94" s="2">
        <f t="shared" si="11"/>
        <v>-113.22205835018394</v>
      </c>
      <c r="L94" s="2">
        <f t="shared" si="12"/>
        <v>2283.1570541432939</v>
      </c>
      <c r="N94">
        <f t="shared" si="13"/>
        <v>2169.9349957931099</v>
      </c>
    </row>
    <row r="95" spans="2:14" x14ac:dyDescent="0.3">
      <c r="B95" s="1">
        <v>44072</v>
      </c>
      <c r="C95">
        <v>1991</v>
      </c>
      <c r="D95" s="2">
        <f t="shared" si="15"/>
        <v>2083</v>
      </c>
      <c r="E95">
        <f t="shared" si="9"/>
        <v>107877</v>
      </c>
      <c r="F95" s="2"/>
      <c r="G95" s="2">
        <f t="shared" si="14"/>
        <v>78479.130995780637</v>
      </c>
      <c r="H95" s="2">
        <f t="shared" si="14"/>
        <v>31850.976699655934</v>
      </c>
      <c r="I95" s="2">
        <f t="shared" si="16"/>
        <v>69669.892304563429</v>
      </c>
      <c r="J95" s="2">
        <f t="shared" si="10"/>
        <v>-2104.0715258887667</v>
      </c>
      <c r="K95" s="2">
        <f t="shared" si="11"/>
        <v>-170.99823837237136</v>
      </c>
      <c r="L95" s="2">
        <f t="shared" si="12"/>
        <v>2275.0697642611381</v>
      </c>
      <c r="N95">
        <f t="shared" si="13"/>
        <v>2104.0715258887667</v>
      </c>
    </row>
    <row r="96" spans="2:14" x14ac:dyDescent="0.3">
      <c r="B96" s="1">
        <v>44073</v>
      </c>
      <c r="C96">
        <v>2185</v>
      </c>
      <c r="D96" s="2">
        <f t="shared" si="15"/>
        <v>1803.2857142857142</v>
      </c>
      <c r="E96">
        <f t="shared" si="9"/>
        <v>110062</v>
      </c>
      <c r="F96" s="2"/>
      <c r="G96" s="2">
        <f t="shared" si="14"/>
        <v>76375.059469891872</v>
      </c>
      <c r="H96" s="2">
        <f t="shared" si="14"/>
        <v>31679.978461283561</v>
      </c>
      <c r="I96" s="2">
        <f t="shared" si="16"/>
        <v>71944.962068824563</v>
      </c>
      <c r="J96" s="2">
        <f t="shared" si="10"/>
        <v>-2036.6668678328497</v>
      </c>
      <c r="K96" s="2">
        <f t="shared" si="11"/>
        <v>-226.18873654454728</v>
      </c>
      <c r="L96" s="2">
        <f t="shared" si="12"/>
        <v>2262.855604377397</v>
      </c>
      <c r="N96">
        <f t="shared" si="13"/>
        <v>2036.6668678328497</v>
      </c>
    </row>
    <row r="97" spans="2:14" x14ac:dyDescent="0.3">
      <c r="B97" s="1">
        <v>44074</v>
      </c>
      <c r="C97">
        <v>1880</v>
      </c>
      <c r="D97" s="2">
        <f t="shared" si="15"/>
        <v>1691.2857142857142</v>
      </c>
      <c r="E97">
        <f t="shared" si="9"/>
        <v>111942</v>
      </c>
      <c r="F97" s="2"/>
      <c r="G97" s="2">
        <f t="shared" si="14"/>
        <v>74338.39260205903</v>
      </c>
      <c r="H97" s="2">
        <f t="shared" si="14"/>
        <v>31453.789724739014</v>
      </c>
      <c r="I97" s="2">
        <f t="shared" si="16"/>
        <v>74207.817673201964</v>
      </c>
      <c r="J97" s="2">
        <f t="shared" si="10"/>
        <v>-1968.2021627779957</v>
      </c>
      <c r="K97" s="2">
        <f t="shared" si="11"/>
        <v>-278.49710327479102</v>
      </c>
      <c r="L97" s="2">
        <f t="shared" si="12"/>
        <v>2246.6992660527867</v>
      </c>
      <c r="N97">
        <f t="shared" si="13"/>
        <v>1968.2021627779957</v>
      </c>
    </row>
    <row r="98" spans="2:14" x14ac:dyDescent="0.3">
      <c r="B98" s="1">
        <v>44075</v>
      </c>
      <c r="C98">
        <v>1796</v>
      </c>
      <c r="D98" s="2">
        <f t="shared" si="15"/>
        <v>1649.1428571428571</v>
      </c>
      <c r="E98">
        <f t="shared" si="9"/>
        <v>113738</v>
      </c>
      <c r="F98" s="2"/>
      <c r="G98" s="2">
        <f t="shared" si="14"/>
        <v>72370.190439281039</v>
      </c>
      <c r="H98" s="2">
        <f t="shared" si="14"/>
        <v>31175.292621464221</v>
      </c>
      <c r="I98" s="2">
        <f t="shared" si="16"/>
        <v>76454.516939254754</v>
      </c>
      <c r="J98" s="2">
        <f t="shared" si="10"/>
        <v>-1899.1261481613458</v>
      </c>
      <c r="K98" s="2">
        <f t="shared" si="11"/>
        <v>-327.68046765752683</v>
      </c>
      <c r="L98" s="2">
        <f t="shared" si="12"/>
        <v>2226.8066158188726</v>
      </c>
      <c r="N98">
        <f t="shared" si="13"/>
        <v>1899.1261481613458</v>
      </c>
    </row>
    <row r="99" spans="2:14" x14ac:dyDescent="0.3">
      <c r="B99" s="1">
        <v>44076</v>
      </c>
      <c r="C99">
        <v>1141</v>
      </c>
      <c r="D99" s="2">
        <f t="shared" si="15"/>
        <v>1527.7142857142858</v>
      </c>
      <c r="E99">
        <f t="shared" si="9"/>
        <v>114879</v>
      </c>
      <c r="F99" s="2"/>
      <c r="G99" s="2">
        <f t="shared" si="14"/>
        <v>70471.064291119692</v>
      </c>
      <c r="H99" s="2">
        <f t="shared" si="14"/>
        <v>30847.612153806695</v>
      </c>
      <c r="I99" s="2">
        <f t="shared" si="16"/>
        <v>78681.323555073628</v>
      </c>
      <c r="J99" s="2">
        <f t="shared" si="10"/>
        <v>-1829.8519017831961</v>
      </c>
      <c r="K99" s="2">
        <f t="shared" si="11"/>
        <v>-373.54896634585316</v>
      </c>
      <c r="L99" s="2">
        <f t="shared" si="12"/>
        <v>2203.4008681290493</v>
      </c>
      <c r="N99">
        <f t="shared" si="13"/>
        <v>1829.8519017831961</v>
      </c>
    </row>
    <row r="100" spans="2:14" x14ac:dyDescent="0.3">
      <c r="B100" s="1">
        <v>44077</v>
      </c>
      <c r="C100">
        <v>779</v>
      </c>
      <c r="D100" s="2">
        <f t="shared" si="15"/>
        <v>1378</v>
      </c>
      <c r="E100">
        <f t="shared" si="9"/>
        <v>115658</v>
      </c>
      <c r="F100" s="2"/>
      <c r="G100" s="2">
        <f t="shared" si="14"/>
        <v>68641.212389336491</v>
      </c>
      <c r="H100" s="2">
        <f t="shared" si="14"/>
        <v>30474.063187460841</v>
      </c>
      <c r="I100" s="2">
        <f t="shared" si="16"/>
        <v>80884.724423202671</v>
      </c>
      <c r="J100" s="2">
        <f t="shared" si="10"/>
        <v>-1760.7547505189898</v>
      </c>
      <c r="K100" s="2">
        <f t="shared" si="11"/>
        <v>-415.96404858535584</v>
      </c>
      <c r="L100" s="2">
        <f t="shared" si="12"/>
        <v>2176.7187991043456</v>
      </c>
      <c r="N100">
        <f t="shared" si="13"/>
        <v>1760.7547505189898</v>
      </c>
    </row>
    <row r="101" spans="2:14" x14ac:dyDescent="0.3">
      <c r="B101" s="1">
        <v>44078</v>
      </c>
      <c r="C101">
        <v>1772</v>
      </c>
      <c r="D101" s="2">
        <f t="shared" si="15"/>
        <v>1182.4285714285713</v>
      </c>
      <c r="E101">
        <f t="shared" si="9"/>
        <v>117430</v>
      </c>
      <c r="F101" s="2"/>
      <c r="G101" s="2">
        <f t="shared" si="14"/>
        <v>66880.457638817505</v>
      </c>
      <c r="H101" s="2">
        <f t="shared" si="14"/>
        <v>30058.099138875485</v>
      </c>
      <c r="I101" s="2">
        <f t="shared" si="16"/>
        <v>83061.443222307018</v>
      </c>
      <c r="J101" s="2">
        <f t="shared" si="10"/>
        <v>-1692.1712341422044</v>
      </c>
      <c r="K101" s="2">
        <f t="shared" si="11"/>
        <v>-454.83584720604449</v>
      </c>
      <c r="L101" s="2">
        <f t="shared" si="12"/>
        <v>2147.0070813482489</v>
      </c>
      <c r="N101">
        <f t="shared" si="13"/>
        <v>1692.1712341422044</v>
      </c>
    </row>
    <row r="102" spans="2:14" x14ac:dyDescent="0.3">
      <c r="B102" s="1">
        <v>44079</v>
      </c>
      <c r="C102">
        <v>1141</v>
      </c>
      <c r="D102" s="2">
        <f t="shared" si="15"/>
        <v>1128.8571428571429</v>
      </c>
      <c r="E102">
        <f t="shared" si="9"/>
        <v>118571</v>
      </c>
      <c r="F102" s="2"/>
      <c r="G102" s="2">
        <f t="shared" si="14"/>
        <v>65188.286404675302</v>
      </c>
      <c r="H102" s="2">
        <f t="shared" si="14"/>
        <v>29603.263291669442</v>
      </c>
      <c r="I102" s="2">
        <f t="shared" si="16"/>
        <v>85208.450303655263</v>
      </c>
      <c r="J102" s="2">
        <f t="shared" si="10"/>
        <v>-1624.398994924544</v>
      </c>
      <c r="K102" s="2">
        <f t="shared" si="11"/>
        <v>-490.11981162327334</v>
      </c>
      <c r="L102" s="2">
        <f t="shared" si="12"/>
        <v>2114.5188065478173</v>
      </c>
      <c r="N102">
        <f t="shared" si="13"/>
        <v>1624.398994924544</v>
      </c>
    </row>
    <row r="103" spans="2:14" x14ac:dyDescent="0.3">
      <c r="B103" s="1">
        <v>44080</v>
      </c>
      <c r="C103">
        <v>1137</v>
      </c>
      <c r="D103" s="2">
        <f t="shared" si="15"/>
        <v>1175.1428571428571</v>
      </c>
      <c r="E103">
        <f t="shared" si="9"/>
        <v>119708</v>
      </c>
      <c r="F103" s="2"/>
      <c r="G103" s="2">
        <f t="shared" si="14"/>
        <v>63563.887409750758</v>
      </c>
      <c r="H103" s="2">
        <f t="shared" si="14"/>
        <v>29113.143480046168</v>
      </c>
      <c r="I103" s="2">
        <f t="shared" si="16"/>
        <v>87322.969110203077</v>
      </c>
      <c r="J103" s="2">
        <f t="shared" si="10"/>
        <v>-1557.6974531225369</v>
      </c>
      <c r="K103" s="2">
        <f t="shared" si="11"/>
        <v>-521.81279545218922</v>
      </c>
      <c r="L103" s="2">
        <f t="shared" si="12"/>
        <v>2079.5102485747261</v>
      </c>
      <c r="N103">
        <f t="shared" si="13"/>
        <v>1557.6974531225369</v>
      </c>
    </row>
    <row r="104" spans="2:14" x14ac:dyDescent="0.3">
      <c r="B104" s="1">
        <v>44081</v>
      </c>
      <c r="C104">
        <v>511</v>
      </c>
      <c r="D104" s="2">
        <f t="shared" si="15"/>
        <v>1369</v>
      </c>
      <c r="E104">
        <f t="shared" si="9"/>
        <v>120219</v>
      </c>
      <c r="F104" s="2"/>
      <c r="G104" s="2">
        <f t="shared" si="14"/>
        <v>62006.189956628223</v>
      </c>
      <c r="H104" s="2">
        <f t="shared" si="14"/>
        <v>28591.330684593981</v>
      </c>
      <c r="I104" s="2">
        <f t="shared" si="16"/>
        <v>89402.479358777797</v>
      </c>
      <c r="J104" s="2">
        <f t="shared" si="10"/>
        <v>-1492.2891258768584</v>
      </c>
      <c r="K104" s="2">
        <f t="shared" si="11"/>
        <v>-549.94878016556868</v>
      </c>
      <c r="L104" s="2">
        <f t="shared" si="12"/>
        <v>2042.2379060424271</v>
      </c>
      <c r="N104">
        <f t="shared" si="13"/>
        <v>1492.2891258768584</v>
      </c>
    </row>
    <row r="105" spans="2:14" x14ac:dyDescent="0.3">
      <c r="B105" s="1">
        <v>44082</v>
      </c>
      <c r="C105">
        <v>1421</v>
      </c>
      <c r="D105" s="2">
        <f t="shared" si="15"/>
        <v>1372.7142857142858</v>
      </c>
      <c r="E105">
        <f t="shared" si="9"/>
        <v>121640</v>
      </c>
      <c r="F105" s="2"/>
      <c r="G105" s="2">
        <f t="shared" si="14"/>
        <v>60513.900830751365</v>
      </c>
      <c r="H105" s="2">
        <f t="shared" si="14"/>
        <v>28041.38190442841</v>
      </c>
      <c r="I105" s="2">
        <f t="shared" si="16"/>
        <v>91444.717264820225</v>
      </c>
      <c r="J105" s="2">
        <f t="shared" si="10"/>
        <v>-1428.3614509442816</v>
      </c>
      <c r="K105" s="2">
        <f t="shared" si="11"/>
        <v>-574.59439937203319</v>
      </c>
      <c r="L105" s="2">
        <f t="shared" si="12"/>
        <v>2002.9558503163148</v>
      </c>
      <c r="N105">
        <f t="shared" si="13"/>
        <v>1428.3614509442816</v>
      </c>
    </row>
    <row r="106" spans="2:14" x14ac:dyDescent="0.3">
      <c r="B106" s="1">
        <v>44083</v>
      </c>
      <c r="C106">
        <v>1465</v>
      </c>
      <c r="D106" s="2">
        <f t="shared" si="15"/>
        <v>1583.4285714285713</v>
      </c>
      <c r="E106">
        <f t="shared" si="9"/>
        <v>123105</v>
      </c>
      <c r="F106" s="2"/>
      <c r="G106" s="2">
        <f t="shared" si="14"/>
        <v>59085.53937980708</v>
      </c>
      <c r="H106" s="2">
        <f t="shared" si="14"/>
        <v>27466.787505056378</v>
      </c>
      <c r="I106" s="2">
        <f t="shared" si="16"/>
        <v>93447.673115136538</v>
      </c>
      <c r="J106" s="2">
        <f t="shared" si="10"/>
        <v>-1366.068985493941</v>
      </c>
      <c r="K106" s="2">
        <f t="shared" si="11"/>
        <v>-595.84440772437165</v>
      </c>
      <c r="L106" s="2">
        <f t="shared" si="12"/>
        <v>1961.9133932183126</v>
      </c>
      <c r="N106">
        <f t="shared" si="13"/>
        <v>1366.068985493941</v>
      </c>
    </row>
    <row r="107" spans="2:14" x14ac:dyDescent="0.3">
      <c r="B107" s="1">
        <v>44084</v>
      </c>
      <c r="C107">
        <v>2136</v>
      </c>
      <c r="D107" s="2">
        <f t="shared" si="15"/>
        <v>1631.7142857142858</v>
      </c>
      <c r="E107">
        <f t="shared" si="9"/>
        <v>125241</v>
      </c>
      <c r="F107" s="2"/>
      <c r="G107" s="2">
        <f t="shared" si="14"/>
        <v>57719.470394313139</v>
      </c>
      <c r="H107" s="2">
        <f t="shared" si="14"/>
        <v>26870.943097332005</v>
      </c>
      <c r="I107" s="2">
        <f t="shared" si="16"/>
        <v>95409.586508354856</v>
      </c>
      <c r="J107" s="2">
        <f t="shared" si="10"/>
        <v>-1305.5358624357978</v>
      </c>
      <c r="K107" s="2">
        <f t="shared" si="11"/>
        <v>-613.81721594505962</v>
      </c>
      <c r="L107" s="2">
        <f t="shared" si="12"/>
        <v>1919.3530783808574</v>
      </c>
      <c r="N107">
        <f t="shared" si="13"/>
        <v>1305.5358624357978</v>
      </c>
    </row>
    <row r="108" spans="2:14" x14ac:dyDescent="0.3">
      <c r="B108" s="1">
        <v>44085</v>
      </c>
      <c r="C108">
        <v>1798</v>
      </c>
      <c r="D108" s="2">
        <f t="shared" si="15"/>
        <v>1916</v>
      </c>
      <c r="E108">
        <f t="shared" si="9"/>
        <v>127039</v>
      </c>
      <c r="F108" s="2"/>
      <c r="G108" s="2">
        <f t="shared" si="14"/>
        <v>56413.934531877341</v>
      </c>
      <c r="H108" s="2">
        <f t="shared" si="14"/>
        <v>26257.125881386946</v>
      </c>
      <c r="I108" s="2">
        <f t="shared" si="16"/>
        <v>97328.939586735709</v>
      </c>
      <c r="J108" s="2">
        <f t="shared" si="10"/>
        <v>-1246.858401067193</v>
      </c>
      <c r="K108" s="2">
        <f t="shared" si="11"/>
        <v>-628.65059046044598</v>
      </c>
      <c r="L108" s="2">
        <f t="shared" si="12"/>
        <v>1875.508991527639</v>
      </c>
      <c r="N108">
        <f t="shared" si="13"/>
        <v>1246.858401067193</v>
      </c>
    </row>
    <row r="109" spans="2:14" x14ac:dyDescent="0.3">
      <c r="B109" s="1">
        <v>44086</v>
      </c>
      <c r="C109">
        <v>2616</v>
      </c>
      <c r="D109" s="2">
        <f t="shared" si="15"/>
        <v>1960.7142857142858</v>
      </c>
      <c r="E109">
        <f t="shared" si="9"/>
        <v>129655</v>
      </c>
      <c r="F109" s="2"/>
      <c r="G109" s="2">
        <f t="shared" si="14"/>
        <v>55167.07613081015</v>
      </c>
      <c r="H109" s="2">
        <f t="shared" si="14"/>
        <v>25628.475290926501</v>
      </c>
      <c r="I109" s="2">
        <f t="shared" si="16"/>
        <v>99204.448578263342</v>
      </c>
      <c r="J109" s="2">
        <f t="shared" si="10"/>
        <v>-1190.1077840834419</v>
      </c>
      <c r="K109" s="2">
        <f t="shared" si="11"/>
        <v>-640.49759383987953</v>
      </c>
      <c r="L109" s="2">
        <f t="shared" si="12"/>
        <v>1830.6053779233214</v>
      </c>
      <c r="N109">
        <f t="shared" si="13"/>
        <v>1190.1077840834419</v>
      </c>
    </row>
    <row r="110" spans="2:14" x14ac:dyDescent="0.3">
      <c r="B110" s="1">
        <v>44087</v>
      </c>
      <c r="C110">
        <v>1475</v>
      </c>
      <c r="D110" s="2">
        <f t="shared" si="15"/>
        <v>1981.1428571428571</v>
      </c>
      <c r="E110">
        <f t="shared" si="9"/>
        <v>131130</v>
      </c>
      <c r="F110" s="2"/>
      <c r="G110" s="2">
        <f t="shared" si="14"/>
        <v>53976.96834672671</v>
      </c>
      <c r="H110" s="2">
        <f t="shared" si="14"/>
        <v>24987.977697086622</v>
      </c>
      <c r="I110" s="2">
        <f t="shared" si="16"/>
        <v>101035.05395618666</v>
      </c>
      <c r="J110" s="2">
        <f t="shared" si="10"/>
        <v>-1135.3327282864964</v>
      </c>
      <c r="K110" s="2">
        <f t="shared" si="11"/>
        <v>-649.52282150540509</v>
      </c>
      <c r="L110" s="2">
        <f t="shared" si="12"/>
        <v>1784.8555497919015</v>
      </c>
      <c r="N110">
        <f t="shared" si="13"/>
        <v>1135.3327282864964</v>
      </c>
    </row>
    <row r="111" spans="2:14" x14ac:dyDescent="0.3">
      <c r="B111" s="1">
        <v>44088</v>
      </c>
      <c r="C111">
        <v>2501</v>
      </c>
      <c r="D111" s="2">
        <f t="shared" si="15"/>
        <v>1855.4285714285713</v>
      </c>
      <c r="E111">
        <f t="shared" si="9"/>
        <v>133631</v>
      </c>
      <c r="F111" s="2"/>
      <c r="G111" s="2">
        <f t="shared" si="14"/>
        <v>52841.63561844021</v>
      </c>
      <c r="H111" s="2">
        <f t="shared" si="14"/>
        <v>24338.454875581217</v>
      </c>
      <c r="I111" s="2">
        <f t="shared" si="16"/>
        <v>102819.90950597856</v>
      </c>
      <c r="J111" s="2">
        <f t="shared" si="10"/>
        <v>-1082.5620909522831</v>
      </c>
      <c r="K111" s="2">
        <f t="shared" si="11"/>
        <v>-655.89897158923236</v>
      </c>
      <c r="L111" s="2">
        <f t="shared" si="12"/>
        <v>1738.4610625415155</v>
      </c>
      <c r="N111">
        <f t="shared" si="13"/>
        <v>1082.5620909522831</v>
      </c>
    </row>
    <row r="112" spans="2:14" x14ac:dyDescent="0.3">
      <c r="B112" s="1">
        <v>44089</v>
      </c>
      <c r="C112">
        <v>1734</v>
      </c>
      <c r="D112" s="2">
        <f t="shared" si="15"/>
        <v>1788.4285714285713</v>
      </c>
      <c r="E112">
        <f t="shared" si="9"/>
        <v>135365</v>
      </c>
      <c r="F112" s="2"/>
      <c r="G112" s="2">
        <f t="shared" si="14"/>
        <v>51759.073527487926</v>
      </c>
      <c r="H112" s="2">
        <f t="shared" si="14"/>
        <v>23682.555903991986</v>
      </c>
      <c r="I112" s="2">
        <f t="shared" si="16"/>
        <v>104558.37056852008</v>
      </c>
      <c r="J112" s="2">
        <f t="shared" si="10"/>
        <v>-1031.8073673009803</v>
      </c>
      <c r="K112" s="2">
        <f t="shared" si="11"/>
        <v>-659.80376869844713</v>
      </c>
      <c r="L112" s="2">
        <f t="shared" si="12"/>
        <v>1691.6111359994275</v>
      </c>
      <c r="N112">
        <f t="shared" si="13"/>
        <v>1031.8073673009803</v>
      </c>
    </row>
    <row r="113" spans="2:14" x14ac:dyDescent="0.3">
      <c r="B113" s="1">
        <v>44090</v>
      </c>
      <c r="C113">
        <v>1608</v>
      </c>
      <c r="D113" s="2">
        <f t="shared" si="15"/>
        <v>1623.1428571428571</v>
      </c>
      <c r="E113">
        <f t="shared" si="9"/>
        <v>136973</v>
      </c>
      <c r="F113" s="2"/>
      <c r="G113" s="2">
        <f t="shared" si="14"/>
        <v>50727.266160186948</v>
      </c>
      <c r="H113" s="2">
        <f t="shared" si="14"/>
        <v>23022.75213529354</v>
      </c>
      <c r="I113" s="2">
        <f t="shared" si="16"/>
        <v>106249.98170451951</v>
      </c>
      <c r="J113" s="2">
        <f t="shared" si="10"/>
        <v>-983.06504655475396</v>
      </c>
      <c r="K113" s="2">
        <f t="shared" si="11"/>
        <v>-661.41724882335598</v>
      </c>
      <c r="L113" s="2">
        <f t="shared" si="12"/>
        <v>1644.4822953781099</v>
      </c>
      <c r="N113">
        <f t="shared" si="13"/>
        <v>983.06504655475396</v>
      </c>
    </row>
    <row r="114" spans="2:14" x14ac:dyDescent="0.3">
      <c r="B114" s="1">
        <v>44091</v>
      </c>
      <c r="C114">
        <v>1256</v>
      </c>
      <c r="D114" s="2">
        <f t="shared" si="15"/>
        <v>1600.7142857142858</v>
      </c>
      <c r="E114">
        <f t="shared" si="9"/>
        <v>138229</v>
      </c>
      <c r="F114" s="2"/>
      <c r="G114" s="2">
        <f t="shared" si="14"/>
        <v>49744.201113632196</v>
      </c>
      <c r="H114" s="2">
        <f t="shared" si="14"/>
        <v>22361.334886470184</v>
      </c>
      <c r="I114" s="2">
        <f t="shared" si="16"/>
        <v>107894.46399989762</v>
      </c>
      <c r="J114" s="2">
        <f t="shared" si="10"/>
        <v>-936.31880451334405</v>
      </c>
      <c r="K114" s="2">
        <f t="shared" si="11"/>
        <v>-660.91940166309746</v>
      </c>
      <c r="L114" s="2">
        <f t="shared" si="12"/>
        <v>1597.2382061764415</v>
      </c>
      <c r="N114">
        <f t="shared" si="13"/>
        <v>936.31880451334405</v>
      </c>
    </row>
    <row r="115" spans="2:14" x14ac:dyDescent="0.3">
      <c r="B115" s="1">
        <v>44092</v>
      </c>
      <c r="C115">
        <v>1329</v>
      </c>
      <c r="D115" s="2">
        <f t="shared" si="15"/>
        <v>1420.5714285714287</v>
      </c>
      <c r="E115">
        <f t="shared" si="9"/>
        <v>139558</v>
      </c>
      <c r="F115" s="2"/>
      <c r="G115" s="2">
        <f t="shared" si="14"/>
        <v>48807.882309118853</v>
      </c>
      <c r="H115" s="2">
        <f t="shared" si="14"/>
        <v>21700.415484807087</v>
      </c>
      <c r="I115" s="2">
        <f t="shared" si="16"/>
        <v>109491.70220607406</v>
      </c>
      <c r="J115" s="2">
        <f t="shared" si="10"/>
        <v>-891.54151939515543</v>
      </c>
      <c r="K115" s="2">
        <f t="shared" si="11"/>
        <v>-658.48815809106497</v>
      </c>
      <c r="L115" s="2">
        <f t="shared" si="12"/>
        <v>1550.0296774862204</v>
      </c>
      <c r="N115">
        <f t="shared" si="13"/>
        <v>891.54151939515543</v>
      </c>
    </row>
    <row r="116" spans="2:14" x14ac:dyDescent="0.3">
      <c r="B116" s="1">
        <v>44093</v>
      </c>
      <c r="C116">
        <v>1459</v>
      </c>
      <c r="D116" s="2">
        <f t="shared" si="15"/>
        <v>1252.7142857142858</v>
      </c>
      <c r="E116">
        <f t="shared" si="9"/>
        <v>141017</v>
      </c>
      <c r="F116" s="2"/>
      <c r="G116" s="2">
        <f t="shared" si="14"/>
        <v>47916.340789723698</v>
      </c>
      <c r="H116" s="2">
        <f t="shared" si="14"/>
        <v>21041.927326716021</v>
      </c>
      <c r="I116" s="2">
        <f t="shared" si="16"/>
        <v>111041.73188356028</v>
      </c>
      <c r="J116" s="2">
        <f t="shared" si="10"/>
        <v>-848.69710493225989</v>
      </c>
      <c r="K116" s="2">
        <f t="shared" si="11"/>
        <v>-654.29770411888444</v>
      </c>
      <c r="L116" s="2">
        <f t="shared" si="12"/>
        <v>1502.9948090511443</v>
      </c>
      <c r="N116">
        <f t="shared" si="13"/>
        <v>848.69710493225989</v>
      </c>
    </row>
    <row r="117" spans="2:14" x14ac:dyDescent="0.3">
      <c r="B117" s="1">
        <v>44094</v>
      </c>
      <c r="C117">
        <v>1318</v>
      </c>
      <c r="D117" s="2">
        <f t="shared" si="15"/>
        <v>1192.1428571428571</v>
      </c>
      <c r="E117">
        <f t="shared" si="9"/>
        <v>142335</v>
      </c>
      <c r="F117" s="2"/>
      <c r="G117" s="2">
        <f t="shared" si="14"/>
        <v>47067.643684791437</v>
      </c>
      <c r="H117" s="2">
        <f t="shared" si="14"/>
        <v>20387.629622597135</v>
      </c>
      <c r="I117" s="2">
        <f t="shared" si="16"/>
        <v>112544.72669261142</v>
      </c>
      <c r="J117" s="2">
        <f t="shared" si="10"/>
        <v>-807.74216048308165</v>
      </c>
      <c r="K117" s="2">
        <f t="shared" si="11"/>
        <v>-648.5170982738565</v>
      </c>
      <c r="L117" s="2">
        <f t="shared" si="12"/>
        <v>1456.2592587569382</v>
      </c>
      <c r="N117">
        <f t="shared" si="13"/>
        <v>807.74216048308165</v>
      </c>
    </row>
    <row r="118" spans="2:14" x14ac:dyDescent="0.3">
      <c r="B118" s="1">
        <v>44095</v>
      </c>
      <c r="C118">
        <v>1240</v>
      </c>
      <c r="D118" s="2">
        <f t="shared" si="15"/>
        <v>1123</v>
      </c>
      <c r="E118">
        <f t="shared" si="9"/>
        <v>143575</v>
      </c>
      <c r="F118" s="2"/>
      <c r="G118" s="2">
        <f t="shared" si="14"/>
        <v>46259.901524308356</v>
      </c>
      <c r="H118" s="2">
        <f t="shared" si="14"/>
        <v>19739.112524323278</v>
      </c>
      <c r="I118" s="2">
        <f t="shared" si="16"/>
        <v>114000.98595136836</v>
      </c>
      <c r="J118" s="2">
        <f t="shared" si="10"/>
        <v>-768.62744238420589</v>
      </c>
      <c r="K118" s="2">
        <f t="shared" si="11"/>
        <v>-641.3091664960283</v>
      </c>
      <c r="L118" s="2">
        <f t="shared" si="12"/>
        <v>1409.9366088802342</v>
      </c>
      <c r="N118">
        <f t="shared" si="13"/>
        <v>768.62744238420589</v>
      </c>
    </row>
    <row r="119" spans="2:14" x14ac:dyDescent="0.3">
      <c r="B119" s="1">
        <v>44096</v>
      </c>
      <c r="C119">
        <v>559</v>
      </c>
      <c r="D119" s="2">
        <f t="shared" si="15"/>
        <v>1084.1428571428571</v>
      </c>
      <c r="E119">
        <f t="shared" si="9"/>
        <v>144134</v>
      </c>
      <c r="F119" s="2"/>
      <c r="G119" s="2">
        <f t="shared" si="14"/>
        <v>45491.274081924152</v>
      </c>
      <c r="H119" s="2">
        <f t="shared" si="14"/>
        <v>19097.803357827252</v>
      </c>
      <c r="I119" s="2">
        <f t="shared" si="16"/>
        <v>115410.9225602486</v>
      </c>
      <c r="J119" s="2">
        <f t="shared" si="10"/>
        <v>-731.29916406869609</v>
      </c>
      <c r="K119" s="2">
        <f t="shared" si="11"/>
        <v>-632.82964720467896</v>
      </c>
      <c r="L119" s="2">
        <f t="shared" si="12"/>
        <v>1364.128811273375</v>
      </c>
      <c r="N119">
        <f t="shared" si="13"/>
        <v>731.29916406869609</v>
      </c>
    </row>
    <row r="120" spans="2:14" x14ac:dyDescent="0.3">
      <c r="B120" s="1">
        <v>44097</v>
      </c>
      <c r="C120">
        <v>1184</v>
      </c>
      <c r="D120" s="2">
        <f t="shared" si="15"/>
        <v>1033.4285714285713</v>
      </c>
      <c r="E120">
        <f t="shared" si="9"/>
        <v>145318</v>
      </c>
      <c r="F120" s="2"/>
      <c r="G120" s="2">
        <f t="shared" si="14"/>
        <v>44759.974917855456</v>
      </c>
      <c r="H120" s="2">
        <f t="shared" si="14"/>
        <v>18464.973710622573</v>
      </c>
      <c r="I120" s="2">
        <f t="shared" si="16"/>
        <v>116775.05137152197</v>
      </c>
      <c r="J120" s="2">
        <f t="shared" si="10"/>
        <v>-695.70013480330533</v>
      </c>
      <c r="K120" s="2">
        <f t="shared" si="11"/>
        <v>-623.22655881259277</v>
      </c>
      <c r="L120" s="2">
        <f t="shared" si="12"/>
        <v>1318.9266936158981</v>
      </c>
      <c r="N120">
        <f t="shared" si="13"/>
        <v>695.70013480330533</v>
      </c>
    </row>
    <row r="121" spans="2:14" x14ac:dyDescent="0.3">
      <c r="B121" s="1">
        <v>44098</v>
      </c>
      <c r="C121">
        <v>772</v>
      </c>
      <c r="D121" s="2">
        <f t="shared" si="15"/>
        <v>993.85714285714289</v>
      </c>
      <c r="E121">
        <f t="shared" si="9"/>
        <v>146090</v>
      </c>
      <c r="F121" s="2"/>
      <c r="G121" s="2">
        <f t="shared" si="14"/>
        <v>44064.274783052148</v>
      </c>
      <c r="H121" s="2">
        <f t="shared" si="14"/>
        <v>17841.747151809981</v>
      </c>
      <c r="I121" s="2">
        <f t="shared" si="16"/>
        <v>118093.97806513787</v>
      </c>
      <c r="J121" s="2">
        <f t="shared" si="10"/>
        <v>-661.77074840664397</v>
      </c>
      <c r="K121" s="2">
        <f t="shared" si="11"/>
        <v>-612.63976243692593</v>
      </c>
      <c r="L121" s="2">
        <f t="shared" si="12"/>
        <v>1274.4105108435699</v>
      </c>
      <c r="N121">
        <f t="shared" si="13"/>
        <v>661.77074840664397</v>
      </c>
    </row>
    <row r="122" spans="2:14" x14ac:dyDescent="0.3">
      <c r="B122" s="1">
        <v>44099</v>
      </c>
      <c r="C122">
        <v>1057</v>
      </c>
      <c r="D122" s="2">
        <f t="shared" si="15"/>
        <v>980.28571428571433</v>
      </c>
      <c r="E122">
        <f t="shared" si="9"/>
        <v>147147</v>
      </c>
      <c r="F122" s="2"/>
      <c r="G122" s="2">
        <f t="shared" si="14"/>
        <v>43402.504034645506</v>
      </c>
      <c r="H122" s="2">
        <f t="shared" si="14"/>
        <v>17229.107389373054</v>
      </c>
      <c r="I122" s="2">
        <f t="shared" si="16"/>
        <v>119368.38857598144</v>
      </c>
      <c r="J122" s="2">
        <f t="shared" si="10"/>
        <v>-629.44983415875811</v>
      </c>
      <c r="K122" s="2">
        <f t="shared" si="11"/>
        <v>-601.2006936536028</v>
      </c>
      <c r="L122" s="2">
        <f t="shared" si="12"/>
        <v>1230.6505278123609</v>
      </c>
      <c r="N122">
        <f t="shared" si="13"/>
        <v>629.44983415875811</v>
      </c>
    </row>
    <row r="123" spans="2:14" x14ac:dyDescent="0.3">
      <c r="B123" s="1">
        <v>44100</v>
      </c>
      <c r="C123">
        <v>1104</v>
      </c>
      <c r="D123" s="2">
        <f t="shared" si="15"/>
        <v>985.14285714285711</v>
      </c>
      <c r="E123">
        <f t="shared" si="9"/>
        <v>148251</v>
      </c>
      <c r="F123" s="2"/>
      <c r="G123" s="2">
        <f t="shared" si="14"/>
        <v>42773.054200486746</v>
      </c>
      <c r="H123" s="2">
        <f t="shared" si="14"/>
        <v>16627.906695719452</v>
      </c>
      <c r="I123" s="2">
        <f t="shared" si="16"/>
        <v>120599.03910379381</v>
      </c>
      <c r="J123" s="2">
        <f t="shared" si="10"/>
        <v>-598.675382438253</v>
      </c>
      <c r="K123" s="2">
        <f t="shared" si="11"/>
        <v>-589.03223868456496</v>
      </c>
      <c r="L123" s="2">
        <f t="shared" si="12"/>
        <v>1187.707621122818</v>
      </c>
      <c r="N123">
        <f t="shared" si="13"/>
        <v>598.675382438253</v>
      </c>
    </row>
    <row r="124" spans="2:14" x14ac:dyDescent="0.3">
      <c r="B124" s="1">
        <v>44101</v>
      </c>
      <c r="C124">
        <v>1041</v>
      </c>
      <c r="D124" s="2">
        <f t="shared" si="15"/>
        <v>939.28571428571433</v>
      </c>
      <c r="E124">
        <f t="shared" si="9"/>
        <v>149292</v>
      </c>
      <c r="F124" s="2"/>
      <c r="G124" s="2">
        <f t="shared" si="14"/>
        <v>42174.378818048492</v>
      </c>
      <c r="H124" s="2">
        <f t="shared" si="14"/>
        <v>16038.874457034886</v>
      </c>
      <c r="I124" s="2">
        <f t="shared" si="16"/>
        <v>121786.74672491662</v>
      </c>
      <c r="J124" s="2">
        <f t="shared" si="10"/>
        <v>-569.38515754723164</v>
      </c>
      <c r="K124" s="2">
        <f t="shared" si="11"/>
        <v>-576.24873224097439</v>
      </c>
      <c r="L124" s="2">
        <f t="shared" si="12"/>
        <v>1145.633889788206</v>
      </c>
      <c r="N124">
        <f t="shared" si="13"/>
        <v>569.38515754723164</v>
      </c>
    </row>
    <row r="125" spans="2:14" x14ac:dyDescent="0.3">
      <c r="B125" s="1">
        <v>44102</v>
      </c>
      <c r="C125">
        <v>1145</v>
      </c>
      <c r="D125" s="2">
        <f t="shared" si="15"/>
        <v>958.57142857142856</v>
      </c>
      <c r="E125">
        <f t="shared" si="9"/>
        <v>150437</v>
      </c>
      <c r="F125" s="2"/>
      <c r="G125" s="2">
        <f t="shared" si="14"/>
        <v>41604.993660501263</v>
      </c>
      <c r="H125" s="2">
        <f t="shared" si="14"/>
        <v>15462.625724793912</v>
      </c>
      <c r="I125" s="2">
        <f t="shared" si="16"/>
        <v>122932.38061470483</v>
      </c>
      <c r="J125" s="2">
        <f t="shared" si="10"/>
        <v>-541.51720981039932</v>
      </c>
      <c r="K125" s="2">
        <f t="shared" si="11"/>
        <v>-562.95605624630855</v>
      </c>
      <c r="L125" s="2">
        <f t="shared" si="12"/>
        <v>1104.4732660567079</v>
      </c>
      <c r="N125">
        <f t="shared" si="13"/>
        <v>541.51720981039932</v>
      </c>
    </row>
    <row r="126" spans="2:14" x14ac:dyDescent="0.3">
      <c r="B126" s="1">
        <v>44103</v>
      </c>
      <c r="C126">
        <v>593</v>
      </c>
      <c r="D126" s="2">
        <f t="shared" si="15"/>
        <v>959</v>
      </c>
      <c r="E126">
        <f t="shared" si="9"/>
        <v>151030</v>
      </c>
      <c r="F126" s="2"/>
      <c r="G126" s="2">
        <f t="shared" si="14"/>
        <v>41063.476450690861</v>
      </c>
      <c r="H126" s="2">
        <f t="shared" si="14"/>
        <v>14899.669668547604</v>
      </c>
      <c r="I126" s="2">
        <f t="shared" si="16"/>
        <v>124036.85388076154</v>
      </c>
      <c r="J126" s="2">
        <f t="shared" si="10"/>
        <v>-515.01029844905509</v>
      </c>
      <c r="K126" s="2">
        <f t="shared" si="11"/>
        <v>-549.2518207329166</v>
      </c>
      <c r="L126" s="2">
        <f t="shared" si="12"/>
        <v>1064.2621191819717</v>
      </c>
      <c r="N126">
        <f t="shared" si="13"/>
        <v>515.01029844905509</v>
      </c>
    </row>
    <row r="127" spans="2:14" x14ac:dyDescent="0.3">
      <c r="B127" s="1">
        <v>44104</v>
      </c>
      <c r="C127">
        <v>863</v>
      </c>
      <c r="D127" s="2">
        <f t="shared" si="15"/>
        <v>949.14285714285711</v>
      </c>
      <c r="E127">
        <f t="shared" si="9"/>
        <v>151893</v>
      </c>
      <c r="F127" s="2"/>
      <c r="G127" s="2">
        <f t="shared" si="14"/>
        <v>40548.466152241803</v>
      </c>
      <c r="H127" s="2">
        <f t="shared" si="14"/>
        <v>14350.417847814688</v>
      </c>
      <c r="I127" s="2">
        <f t="shared" si="16"/>
        <v>125101.11599994352</v>
      </c>
      <c r="J127" s="2">
        <f t="shared" si="10"/>
        <v>-489.80423600390617</v>
      </c>
      <c r="K127" s="2">
        <f t="shared" si="11"/>
        <v>-535.22561026857147</v>
      </c>
      <c r="L127" s="2">
        <f t="shared" si="12"/>
        <v>1025.0298462724777</v>
      </c>
      <c r="N127">
        <f t="shared" si="13"/>
        <v>489.80423600390617</v>
      </c>
    </row>
    <row r="128" spans="2:14" x14ac:dyDescent="0.3">
      <c r="B128" s="1">
        <v>44105</v>
      </c>
      <c r="C128">
        <v>907</v>
      </c>
      <c r="D128" s="2">
        <f t="shared" si="15"/>
        <v>978</v>
      </c>
      <c r="E128">
        <f t="shared" si="9"/>
        <v>152800</v>
      </c>
      <c r="F128" s="2"/>
      <c r="G128" s="2">
        <f t="shared" si="14"/>
        <v>40058.661916237899</v>
      </c>
      <c r="H128" s="2">
        <f t="shared" si="14"/>
        <v>13815.192237546116</v>
      </c>
      <c r="I128" s="2">
        <f t="shared" si="16"/>
        <v>126126.14584621599</v>
      </c>
      <c r="J128" s="2">
        <f t="shared" si="10"/>
        <v>-465.84016426910279</v>
      </c>
      <c r="K128" s="2">
        <f t="shared" si="11"/>
        <v>-520.95928126990543</v>
      </c>
      <c r="L128" s="2">
        <f t="shared" si="12"/>
        <v>986.79944553900827</v>
      </c>
      <c r="N128">
        <f t="shared" si="13"/>
        <v>465.84016426910279</v>
      </c>
    </row>
    <row r="129" spans="2:14" x14ac:dyDescent="0.3">
      <c r="B129" s="1">
        <v>44106</v>
      </c>
      <c r="C129">
        <v>1060</v>
      </c>
      <c r="D129" s="2">
        <f t="shared" si="15"/>
        <v>928.71428571428567</v>
      </c>
      <c r="E129">
        <f t="shared" si="9"/>
        <v>153860</v>
      </c>
      <c r="F129" s="2"/>
      <c r="G129" s="2">
        <f t="shared" si="14"/>
        <v>39592.821751968797</v>
      </c>
      <c r="H129" s="2">
        <f t="shared" si="14"/>
        <v>13294.232956276212</v>
      </c>
      <c r="I129" s="2">
        <f t="shared" si="16"/>
        <v>127112.94529175501</v>
      </c>
      <c r="J129" s="2">
        <f t="shared" si="10"/>
        <v>-443.06077084763746</v>
      </c>
      <c r="K129" s="2">
        <f t="shared" si="11"/>
        <v>-506.52729745780613</v>
      </c>
      <c r="L129" s="2">
        <f t="shared" si="12"/>
        <v>949.58806830544358</v>
      </c>
      <c r="N129">
        <f t="shared" si="13"/>
        <v>443.06077084763746</v>
      </c>
    </row>
    <row r="130" spans="2:14" x14ac:dyDescent="0.3">
      <c r="B130" s="1">
        <v>44107</v>
      </c>
      <c r="C130">
        <v>1035</v>
      </c>
      <c r="D130" s="2">
        <f t="shared" si="15"/>
        <v>921</v>
      </c>
      <c r="E130">
        <f t="shared" si="9"/>
        <v>154895</v>
      </c>
      <c r="F130" s="2"/>
      <c r="G130" s="2">
        <f t="shared" si="14"/>
        <v>39149.760981121159</v>
      </c>
      <c r="H130" s="2">
        <f t="shared" si="14"/>
        <v>12787.705658818406</v>
      </c>
      <c r="I130" s="2">
        <f t="shared" si="16"/>
        <v>128062.53336006045</v>
      </c>
      <c r="J130" s="2">
        <f t="shared" si="10"/>
        <v>-421.41045457884769</v>
      </c>
      <c r="K130" s="2">
        <f t="shared" si="11"/>
        <v>-491.99709247960988</v>
      </c>
      <c r="L130" s="2">
        <f t="shared" si="12"/>
        <v>913.40754705845757</v>
      </c>
      <c r="N130">
        <f t="shared" si="13"/>
        <v>421.41045457884769</v>
      </c>
    </row>
    <row r="131" spans="2:14" x14ac:dyDescent="0.3">
      <c r="B131" s="1">
        <v>44108</v>
      </c>
      <c r="C131">
        <v>1243</v>
      </c>
      <c r="D131" s="2">
        <f t="shared" si="15"/>
        <v>941.14285714285711</v>
      </c>
      <c r="E131">
        <f t="shared" si="9"/>
        <v>156138</v>
      </c>
      <c r="F131" s="2"/>
      <c r="G131" s="2">
        <f t="shared" si="14"/>
        <v>38728.350526542308</v>
      </c>
      <c r="H131" s="2">
        <f t="shared" si="14"/>
        <v>12295.708566338795</v>
      </c>
      <c r="I131" s="2">
        <f t="shared" si="16"/>
        <v>128975.9409071189</v>
      </c>
      <c r="J131" s="2">
        <f t="shared" si="10"/>
        <v>-400.83544724695111</v>
      </c>
      <c r="K131" s="2">
        <f t="shared" si="11"/>
        <v>-477.42945034867711</v>
      </c>
      <c r="L131" s="2">
        <f t="shared" si="12"/>
        <v>878.26489759562821</v>
      </c>
      <c r="N131">
        <f t="shared" si="13"/>
        <v>400.83544724695111</v>
      </c>
    </row>
    <row r="132" spans="2:14" x14ac:dyDescent="0.3">
      <c r="B132" s="1">
        <v>44109</v>
      </c>
      <c r="C132">
        <v>800</v>
      </c>
      <c r="D132" s="2">
        <f t="shared" si="15"/>
        <v>933</v>
      </c>
      <c r="E132">
        <f t="shared" si="9"/>
        <v>156938</v>
      </c>
      <c r="F132" s="2"/>
      <c r="G132" s="2">
        <f t="shared" si="14"/>
        <v>38327.515079295357</v>
      </c>
      <c r="H132" s="2">
        <f t="shared" si="14"/>
        <v>11818.279115990119</v>
      </c>
      <c r="I132" s="2">
        <f t="shared" si="16"/>
        <v>129854.20580471453</v>
      </c>
      <c r="J132" s="2">
        <f t="shared" si="10"/>
        <v>-381.2838981729231</v>
      </c>
      <c r="K132" s="2">
        <f t="shared" si="11"/>
        <v>-462.87889582637109</v>
      </c>
      <c r="L132" s="2">
        <f t="shared" si="12"/>
        <v>844.16279399929419</v>
      </c>
      <c r="N132">
        <f t="shared" si="13"/>
        <v>381.2838981729231</v>
      </c>
    </row>
    <row r="133" spans="2:14" x14ac:dyDescent="0.3">
      <c r="B133" s="1">
        <v>44110</v>
      </c>
      <c r="C133">
        <v>539</v>
      </c>
      <c r="D133" s="2">
        <f t="shared" si="15"/>
        <v>935.42857142857144</v>
      </c>
      <c r="E133">
        <f t="shared" si="9"/>
        <v>157477</v>
      </c>
      <c r="F133" s="2"/>
      <c r="G133" s="2">
        <f t="shared" si="14"/>
        <v>37946.231181122435</v>
      </c>
      <c r="H133" s="2">
        <f t="shared" si="14"/>
        <v>11355.400220163749</v>
      </c>
      <c r="I133" s="2">
        <f t="shared" si="16"/>
        <v>130698.36859871382</v>
      </c>
      <c r="J133" s="2">
        <f t="shared" si="10"/>
        <v>-362.70592753240925</v>
      </c>
      <c r="K133" s="2">
        <f t="shared" si="11"/>
        <v>-448.39408819357271</v>
      </c>
      <c r="L133" s="2">
        <f t="shared" si="12"/>
        <v>811.10001572598196</v>
      </c>
      <c r="N133">
        <f t="shared" si="13"/>
        <v>362.70592753240925</v>
      </c>
    </row>
    <row r="134" spans="2:14" x14ac:dyDescent="0.3">
      <c r="B134" s="1">
        <v>44111</v>
      </c>
      <c r="C134">
        <v>1004</v>
      </c>
      <c r="D134" s="2">
        <f t="shared" si="15"/>
        <v>879</v>
      </c>
      <c r="E134">
        <f t="shared" si="9"/>
        <v>158481</v>
      </c>
      <c r="F134" s="2"/>
      <c r="G134" s="2">
        <f t="shared" si="14"/>
        <v>37583.525253590029</v>
      </c>
      <c r="H134" s="2">
        <f t="shared" si="14"/>
        <v>10907.006131970176</v>
      </c>
      <c r="I134" s="2">
        <f t="shared" si="16"/>
        <v>131509.4686144398</v>
      </c>
      <c r="J134" s="2">
        <f t="shared" si="10"/>
        <v>-345.0536535370054</v>
      </c>
      <c r="K134" s="2">
        <f t="shared" si="11"/>
        <v>-434.01821303229281</v>
      </c>
      <c r="L134" s="2">
        <f t="shared" si="12"/>
        <v>779.07186656929821</v>
      </c>
      <c r="N134">
        <f t="shared" si="13"/>
        <v>345.0536535370054</v>
      </c>
    </row>
    <row r="135" spans="2:14" x14ac:dyDescent="0.3">
      <c r="B135" s="1">
        <v>44112</v>
      </c>
      <c r="C135">
        <v>850</v>
      </c>
      <c r="D135" s="2">
        <f t="shared" si="15"/>
        <v>811.71428571428567</v>
      </c>
      <c r="E135">
        <f t="shared" ref="E135:E198" si="17">C135+E134</f>
        <v>159331</v>
      </c>
      <c r="F135" s="2"/>
      <c r="G135" s="2">
        <f t="shared" si="14"/>
        <v>37238.471600053024</v>
      </c>
      <c r="H135" s="2">
        <f t="shared" si="14"/>
        <v>10472.987918937884</v>
      </c>
      <c r="I135" s="2">
        <f t="shared" si="16"/>
        <v>132288.54048100908</v>
      </c>
      <c r="J135" s="2">
        <f t="shared" ref="J135:J198" si="18">-C$1*G135*H135/C$3</f>
        <v>-328.28119796891144</v>
      </c>
      <c r="K135" s="2">
        <f t="shared" ref="K135:K198" si="19">-J135-L135</f>
        <v>-419.78936766950881</v>
      </c>
      <c r="L135" s="2">
        <f t="shared" ref="L135:L198" si="20">C$2*H135</f>
        <v>748.07056563842025</v>
      </c>
      <c r="N135">
        <f t="shared" ref="N135:N198" si="21">(C$1*G135*H135)/C$3</f>
        <v>328.28119796891144</v>
      </c>
    </row>
    <row r="136" spans="2:14" x14ac:dyDescent="0.3">
      <c r="B136" s="1">
        <v>44113</v>
      </c>
      <c r="C136">
        <v>1077</v>
      </c>
      <c r="D136" s="2">
        <f t="shared" si="15"/>
        <v>887.71428571428567</v>
      </c>
      <c r="E136">
        <f t="shared" si="17"/>
        <v>160408</v>
      </c>
      <c r="F136" s="2"/>
      <c r="G136" s="2">
        <f t="shared" ref="G136:H199" si="22">G135+J135</f>
        <v>36910.19040208411</v>
      </c>
      <c r="H136" s="2">
        <f t="shared" si="22"/>
        <v>10053.198551268375</v>
      </c>
      <c r="I136" s="2">
        <f t="shared" si="16"/>
        <v>133036.61104664751</v>
      </c>
      <c r="J136" s="2">
        <f t="shared" si="18"/>
        <v>-312.34467397076759</v>
      </c>
      <c r="K136" s="2">
        <f t="shared" si="19"/>
        <v>-405.74093683411633</v>
      </c>
      <c r="L136" s="2">
        <f t="shared" si="20"/>
        <v>718.08561080488391</v>
      </c>
      <c r="N136">
        <f t="shared" si="21"/>
        <v>312.34467397076759</v>
      </c>
    </row>
    <row r="137" spans="2:14" x14ac:dyDescent="0.3">
      <c r="B137" s="1">
        <v>44114</v>
      </c>
      <c r="C137">
        <v>640</v>
      </c>
      <c r="D137" s="2">
        <f t="shared" ref="D137:D200" si="23">AVERAGE(C134:C140)</f>
        <v>893.71428571428567</v>
      </c>
      <c r="E137">
        <f t="shared" si="17"/>
        <v>161048</v>
      </c>
      <c r="F137" s="2"/>
      <c r="G137" s="2">
        <f t="shared" si="22"/>
        <v>36597.845728113345</v>
      </c>
      <c r="H137" s="2">
        <f t="shared" si="22"/>
        <v>9647.4576144342591</v>
      </c>
      <c r="I137" s="2">
        <f t="shared" ref="I137:I200" si="24">I136+L136</f>
        <v>133754.69665745238</v>
      </c>
      <c r="J137" s="2">
        <f t="shared" si="18"/>
        <v>-297.20215946260726</v>
      </c>
      <c r="K137" s="2">
        <f t="shared" si="19"/>
        <v>-391.9019558541255</v>
      </c>
      <c r="L137" s="2">
        <f t="shared" si="20"/>
        <v>689.10411531673276</v>
      </c>
      <c r="N137">
        <f t="shared" si="21"/>
        <v>297.20215946260726</v>
      </c>
    </row>
    <row r="138" spans="2:14" x14ac:dyDescent="0.3">
      <c r="B138" s="1">
        <v>44115</v>
      </c>
      <c r="C138">
        <v>772</v>
      </c>
      <c r="D138" s="2">
        <f t="shared" si="23"/>
        <v>838.42857142857144</v>
      </c>
      <c r="E138">
        <f t="shared" si="17"/>
        <v>161820</v>
      </c>
      <c r="F138" s="2"/>
      <c r="G138" s="2">
        <f t="shared" si="22"/>
        <v>36300.643568650739</v>
      </c>
      <c r="H138" s="2">
        <f t="shared" si="22"/>
        <v>9255.5556585801332</v>
      </c>
      <c r="I138" s="2">
        <f t="shared" si="24"/>
        <v>134443.80077276911</v>
      </c>
      <c r="J138" s="2">
        <f t="shared" si="18"/>
        <v>-282.81365908411271</v>
      </c>
      <c r="K138" s="2">
        <f t="shared" si="19"/>
        <v>-378.29745938589679</v>
      </c>
      <c r="L138" s="2">
        <f t="shared" si="20"/>
        <v>661.1111184700095</v>
      </c>
      <c r="N138">
        <f t="shared" si="21"/>
        <v>282.81365908411271</v>
      </c>
    </row>
    <row r="139" spans="2:14" x14ac:dyDescent="0.3">
      <c r="B139" s="1">
        <v>44116</v>
      </c>
      <c r="C139">
        <v>1332</v>
      </c>
      <c r="D139" s="2">
        <f t="shared" si="23"/>
        <v>797.42857142857144</v>
      </c>
      <c r="E139">
        <f t="shared" si="17"/>
        <v>163152</v>
      </c>
      <c r="F139" s="2"/>
      <c r="G139" s="2">
        <f t="shared" si="22"/>
        <v>36017.82990956663</v>
      </c>
      <c r="H139" s="2">
        <f t="shared" si="22"/>
        <v>8877.258199194237</v>
      </c>
      <c r="I139" s="2">
        <f t="shared" si="24"/>
        <v>135104.91189123911</v>
      </c>
      <c r="J139" s="2">
        <f t="shared" si="18"/>
        <v>-269.14105713963284</v>
      </c>
      <c r="K139" s="2">
        <f t="shared" si="19"/>
        <v>-364.94881423138406</v>
      </c>
      <c r="L139" s="2">
        <f t="shared" si="20"/>
        <v>634.0898713710169</v>
      </c>
      <c r="N139">
        <f t="shared" si="21"/>
        <v>269.14105713963284</v>
      </c>
    </row>
    <row r="140" spans="2:14" x14ac:dyDescent="0.3">
      <c r="B140" s="1">
        <v>44117</v>
      </c>
      <c r="C140">
        <v>581</v>
      </c>
      <c r="D140" s="2">
        <f t="shared" si="23"/>
        <v>780.57142857142856</v>
      </c>
      <c r="E140">
        <f t="shared" si="17"/>
        <v>163733</v>
      </c>
      <c r="F140" s="2"/>
      <c r="G140" s="2">
        <f t="shared" si="22"/>
        <v>35748.688852426996</v>
      </c>
      <c r="H140" s="2">
        <f t="shared" si="22"/>
        <v>8512.3093849628531</v>
      </c>
      <c r="I140" s="2">
        <f t="shared" si="24"/>
        <v>135739.00176261013</v>
      </c>
      <c r="J140" s="2">
        <f t="shared" si="18"/>
        <v>-256.14806365204652</v>
      </c>
      <c r="K140" s="2">
        <f t="shared" si="19"/>
        <v>-351.87403527387153</v>
      </c>
      <c r="L140" s="2">
        <f t="shared" si="20"/>
        <v>608.02209892591804</v>
      </c>
      <c r="N140">
        <f t="shared" si="21"/>
        <v>256.14806365204652</v>
      </c>
    </row>
    <row r="141" spans="2:14" x14ac:dyDescent="0.3">
      <c r="B141" s="1">
        <v>44118</v>
      </c>
      <c r="C141">
        <v>617</v>
      </c>
      <c r="D141" s="2">
        <f t="shared" si="23"/>
        <v>794</v>
      </c>
      <c r="E141">
        <f t="shared" si="17"/>
        <v>164350</v>
      </c>
      <c r="F141" s="2"/>
      <c r="G141" s="2">
        <f t="shared" si="22"/>
        <v>35492.540788774946</v>
      </c>
      <c r="H141" s="2">
        <f t="shared" si="22"/>
        <v>8160.4353496889817</v>
      </c>
      <c r="I141" s="2">
        <f t="shared" si="24"/>
        <v>136347.02386153606</v>
      </c>
      <c r="J141" s="2">
        <f t="shared" si="18"/>
        <v>-243.80015530555315</v>
      </c>
      <c r="K141" s="2">
        <f t="shared" si="19"/>
        <v>-339.08808395794551</v>
      </c>
      <c r="L141" s="2">
        <f t="shared" si="20"/>
        <v>582.88823926349869</v>
      </c>
      <c r="N141">
        <f t="shared" si="21"/>
        <v>243.80015530555315</v>
      </c>
    </row>
    <row r="142" spans="2:14" x14ac:dyDescent="0.3">
      <c r="B142" s="1">
        <v>44119</v>
      </c>
      <c r="C142">
        <v>563</v>
      </c>
      <c r="D142" s="2">
        <f t="shared" si="23"/>
        <v>798.42857142857144</v>
      </c>
      <c r="E142">
        <f t="shared" si="17"/>
        <v>164913</v>
      </c>
      <c r="F142" s="2"/>
      <c r="G142" s="2">
        <f t="shared" si="22"/>
        <v>35248.740633469395</v>
      </c>
      <c r="H142" s="2">
        <f t="shared" si="22"/>
        <v>7821.3472657310358</v>
      </c>
      <c r="I142" s="2">
        <f t="shared" si="24"/>
        <v>136929.91210079956</v>
      </c>
      <c r="J142" s="2">
        <f t="shared" si="18"/>
        <v>-232.06451277276796</v>
      </c>
      <c r="K142" s="2">
        <f t="shared" si="19"/>
        <v>-326.60314906516311</v>
      </c>
      <c r="L142" s="2">
        <f t="shared" si="20"/>
        <v>558.66766183793106</v>
      </c>
      <c r="N142">
        <f t="shared" si="21"/>
        <v>232.06451277276796</v>
      </c>
    </row>
    <row r="143" spans="2:14" x14ac:dyDescent="0.3">
      <c r="B143" s="1">
        <v>44120</v>
      </c>
      <c r="C143">
        <v>959</v>
      </c>
      <c r="D143" s="2">
        <f t="shared" si="23"/>
        <v>718.85714285714289</v>
      </c>
      <c r="E143">
        <f t="shared" si="17"/>
        <v>165872</v>
      </c>
      <c r="F143" s="2"/>
      <c r="G143" s="2">
        <f t="shared" si="22"/>
        <v>35016.676120696626</v>
      </c>
      <c r="H143" s="2">
        <f t="shared" si="22"/>
        <v>7494.7441166658728</v>
      </c>
      <c r="I143" s="2">
        <f t="shared" si="24"/>
        <v>137488.5797626375</v>
      </c>
      <c r="J143" s="2">
        <f t="shared" si="18"/>
        <v>-220.90995567406176</v>
      </c>
      <c r="K143" s="2">
        <f t="shared" si="19"/>
        <v>-314.42890980207198</v>
      </c>
      <c r="L143" s="2">
        <f t="shared" si="20"/>
        <v>535.33886547613372</v>
      </c>
      <c r="N143">
        <f t="shared" si="21"/>
        <v>220.90995567406176</v>
      </c>
    </row>
    <row r="144" spans="2:14" x14ac:dyDescent="0.3">
      <c r="B144" s="1">
        <v>44121</v>
      </c>
      <c r="C144">
        <v>734</v>
      </c>
      <c r="D144" s="2">
        <f t="shared" si="23"/>
        <v>692.85714285714289</v>
      </c>
      <c r="E144">
        <f t="shared" si="17"/>
        <v>166606</v>
      </c>
      <c r="F144" s="2"/>
      <c r="G144" s="2">
        <f t="shared" si="22"/>
        <v>34795.766165022564</v>
      </c>
      <c r="H144" s="2">
        <f t="shared" si="22"/>
        <v>7180.315206863801</v>
      </c>
      <c r="I144" s="2">
        <f t="shared" si="24"/>
        <v>138023.91862811364</v>
      </c>
      <c r="J144" s="2">
        <f t="shared" si="18"/>
        <v>-210.30687620302058</v>
      </c>
      <c r="K144" s="2">
        <f t="shared" si="19"/>
        <v>-302.57278143010808</v>
      </c>
      <c r="L144" s="2">
        <f t="shared" si="20"/>
        <v>512.87965763312866</v>
      </c>
      <c r="N144">
        <f t="shared" si="21"/>
        <v>210.30687620302058</v>
      </c>
    </row>
    <row r="145" spans="2:14" x14ac:dyDescent="0.3">
      <c r="B145" s="1">
        <v>44122</v>
      </c>
      <c r="C145">
        <v>803</v>
      </c>
      <c r="D145" s="2">
        <f t="shared" si="23"/>
        <v>657.85714285714289</v>
      </c>
      <c r="E145">
        <f t="shared" si="17"/>
        <v>167409</v>
      </c>
      <c r="F145" s="2"/>
      <c r="G145" s="2">
        <f t="shared" si="22"/>
        <v>34585.45928881954</v>
      </c>
      <c r="H145" s="2">
        <f t="shared" si="22"/>
        <v>6877.7424254336929</v>
      </c>
      <c r="I145" s="2">
        <f t="shared" si="24"/>
        <v>138536.79828574677</v>
      </c>
      <c r="J145" s="2">
        <f t="shared" si="18"/>
        <v>-200.22717226752857</v>
      </c>
      <c r="K145" s="2">
        <f t="shared" si="19"/>
        <v>-291.04014383487799</v>
      </c>
      <c r="L145" s="2">
        <f t="shared" si="20"/>
        <v>491.2673161024066</v>
      </c>
      <c r="N145">
        <f t="shared" si="21"/>
        <v>200.22717226752857</v>
      </c>
    </row>
    <row r="146" spans="2:14" x14ac:dyDescent="0.3">
      <c r="B146" s="1">
        <v>44123</v>
      </c>
      <c r="C146">
        <v>775</v>
      </c>
      <c r="D146" s="2">
        <f t="shared" si="23"/>
        <v>647.71428571428567</v>
      </c>
      <c r="E146">
        <f t="shared" si="17"/>
        <v>168184</v>
      </c>
      <c r="F146" s="2"/>
      <c r="G146" s="2">
        <f t="shared" si="22"/>
        <v>34385.232116552012</v>
      </c>
      <c r="H146" s="2">
        <f t="shared" si="22"/>
        <v>6586.7022815988148</v>
      </c>
      <c r="I146" s="2">
        <f t="shared" si="24"/>
        <v>139028.06560184917</v>
      </c>
      <c r="J146" s="2">
        <f t="shared" si="18"/>
        <v>-190.64418083787709</v>
      </c>
      <c r="K146" s="2">
        <f t="shared" si="19"/>
        <v>-279.8345535620382</v>
      </c>
      <c r="L146" s="2">
        <f t="shared" si="20"/>
        <v>470.47873439991531</v>
      </c>
      <c r="N146">
        <f t="shared" si="21"/>
        <v>190.64418083787709</v>
      </c>
    </row>
    <row r="147" spans="2:14" x14ac:dyDescent="0.3">
      <c r="B147" s="1">
        <v>44124</v>
      </c>
      <c r="C147">
        <v>399</v>
      </c>
      <c r="D147" s="2">
        <f t="shared" si="23"/>
        <v>581.42857142857144</v>
      </c>
      <c r="E147">
        <f t="shared" si="17"/>
        <v>168583</v>
      </c>
      <c r="F147" s="2"/>
      <c r="G147" s="2">
        <f t="shared" si="22"/>
        <v>34194.587935714131</v>
      </c>
      <c r="H147" s="2">
        <f t="shared" si="22"/>
        <v>6306.8677280367765</v>
      </c>
      <c r="I147" s="2">
        <f t="shared" si="24"/>
        <v>139498.54433624909</v>
      </c>
      <c r="J147" s="2">
        <f t="shared" si="18"/>
        <v>-181.53261205830904</v>
      </c>
      <c r="K147" s="2">
        <f t="shared" si="19"/>
        <v>-268.95793994431784</v>
      </c>
      <c r="L147" s="2">
        <f t="shared" si="20"/>
        <v>450.49055200262688</v>
      </c>
      <c r="N147">
        <f t="shared" si="21"/>
        <v>181.53261205830904</v>
      </c>
    </row>
    <row r="148" spans="2:14" x14ac:dyDescent="0.3">
      <c r="B148" s="1">
        <v>44125</v>
      </c>
      <c r="C148">
        <v>372</v>
      </c>
      <c r="D148" s="2">
        <f t="shared" si="23"/>
        <v>556</v>
      </c>
      <c r="E148">
        <f t="shared" si="17"/>
        <v>168955</v>
      </c>
      <c r="F148" s="2"/>
      <c r="G148" s="2">
        <f t="shared" si="22"/>
        <v>34013.055323655819</v>
      </c>
      <c r="H148" s="2">
        <f t="shared" si="22"/>
        <v>6037.9097880924583</v>
      </c>
      <c r="I148" s="2">
        <f t="shared" si="24"/>
        <v>139949.03488825171</v>
      </c>
      <c r="J148" s="2">
        <f t="shared" si="18"/>
        <v>-172.86848456366312</v>
      </c>
      <c r="K148" s="2">
        <f t="shared" si="19"/>
        <v>-258.41078601436959</v>
      </c>
      <c r="L148" s="2">
        <f t="shared" si="20"/>
        <v>431.27927057803271</v>
      </c>
      <c r="N148">
        <f t="shared" si="21"/>
        <v>172.86848456366312</v>
      </c>
    </row>
    <row r="149" spans="2:14" x14ac:dyDescent="0.3">
      <c r="B149" s="1">
        <v>44126</v>
      </c>
      <c r="C149">
        <v>492</v>
      </c>
      <c r="D149" s="2">
        <f t="shared" si="23"/>
        <v>522.42857142857144</v>
      </c>
      <c r="E149">
        <f t="shared" si="17"/>
        <v>169447</v>
      </c>
      <c r="F149" s="2"/>
      <c r="G149" s="2">
        <f t="shared" si="22"/>
        <v>33840.186839092159</v>
      </c>
      <c r="H149" s="2">
        <f t="shared" si="22"/>
        <v>5779.4990020780888</v>
      </c>
      <c r="I149" s="2">
        <f t="shared" si="24"/>
        <v>140380.31415882974</v>
      </c>
      <c r="J149" s="2">
        <f t="shared" si="18"/>
        <v>-164.62906234568115</v>
      </c>
      <c r="K149" s="2">
        <f t="shared" si="19"/>
        <v>-248.19229494561088</v>
      </c>
      <c r="L149" s="2">
        <f t="shared" si="20"/>
        <v>412.82135729129203</v>
      </c>
      <c r="N149">
        <f t="shared" si="21"/>
        <v>164.62906234568115</v>
      </c>
    </row>
    <row r="150" spans="2:14" x14ac:dyDescent="0.3">
      <c r="B150" s="1">
        <v>44127</v>
      </c>
      <c r="C150">
        <v>495</v>
      </c>
      <c r="D150" s="2">
        <f t="shared" si="23"/>
        <v>467.42857142857144</v>
      </c>
      <c r="E150">
        <f t="shared" si="17"/>
        <v>169942</v>
      </c>
      <c r="F150" s="2"/>
      <c r="G150" s="2">
        <f t="shared" si="22"/>
        <v>33675.557776746478</v>
      </c>
      <c r="H150" s="2">
        <f t="shared" si="22"/>
        <v>5531.3067071324776</v>
      </c>
      <c r="I150" s="2">
        <f t="shared" si="24"/>
        <v>140793.13551612102</v>
      </c>
      <c r="J150" s="2">
        <f t="shared" si="18"/>
        <v>-156.79279343177194</v>
      </c>
      <c r="K150" s="2">
        <f t="shared" si="19"/>
        <v>-238.30054279197645</v>
      </c>
      <c r="L150" s="2">
        <f t="shared" si="20"/>
        <v>395.09333622374839</v>
      </c>
      <c r="N150">
        <f t="shared" si="21"/>
        <v>156.79279343177194</v>
      </c>
    </row>
    <row r="151" spans="2:14" x14ac:dyDescent="0.3">
      <c r="B151" s="1">
        <v>44128</v>
      </c>
      <c r="C151">
        <v>556</v>
      </c>
      <c r="D151" s="2">
        <f t="shared" si="23"/>
        <v>461</v>
      </c>
      <c r="E151">
        <f t="shared" si="17"/>
        <v>170498</v>
      </c>
      <c r="F151" s="2"/>
      <c r="G151" s="2">
        <f t="shared" si="22"/>
        <v>33518.764983314708</v>
      </c>
      <c r="H151" s="2">
        <f t="shared" si="22"/>
        <v>5293.0061643405015</v>
      </c>
      <c r="I151" s="2">
        <f t="shared" si="24"/>
        <v>141188.22885234476</v>
      </c>
      <c r="J151" s="2">
        <f t="shared" si="18"/>
        <v>-149.33925057050953</v>
      </c>
      <c r="K151" s="2">
        <f t="shared" si="19"/>
        <v>-228.73261831095482</v>
      </c>
      <c r="L151" s="2">
        <f t="shared" si="20"/>
        <v>378.07186888146435</v>
      </c>
      <c r="N151">
        <f t="shared" si="21"/>
        <v>149.33925057050953</v>
      </c>
    </row>
    <row r="152" spans="2:14" x14ac:dyDescent="0.3">
      <c r="B152" s="1">
        <v>44129</v>
      </c>
      <c r="C152">
        <v>568</v>
      </c>
      <c r="D152" s="2">
        <f t="shared" si="23"/>
        <v>488</v>
      </c>
      <c r="E152">
        <f t="shared" si="17"/>
        <v>171066</v>
      </c>
      <c r="F152" s="2"/>
      <c r="G152" s="2">
        <f t="shared" si="22"/>
        <v>33369.425732744196</v>
      </c>
      <c r="H152" s="2">
        <f t="shared" si="22"/>
        <v>5064.2735460295471</v>
      </c>
      <c r="I152" s="2">
        <f t="shared" si="24"/>
        <v>141566.30072122623</v>
      </c>
      <c r="J152" s="2">
        <f t="shared" si="18"/>
        <v>-142.24907406105564</v>
      </c>
      <c r="K152" s="2">
        <f t="shared" si="19"/>
        <v>-219.48475065534058</v>
      </c>
      <c r="L152" s="2">
        <f t="shared" si="20"/>
        <v>361.73382471639621</v>
      </c>
      <c r="N152">
        <f t="shared" si="21"/>
        <v>142.24907406105564</v>
      </c>
    </row>
    <row r="153" spans="2:14" x14ac:dyDescent="0.3">
      <c r="B153" s="1">
        <v>44130</v>
      </c>
      <c r="C153">
        <v>390</v>
      </c>
      <c r="D153" s="2">
        <f t="shared" si="23"/>
        <v>488.57142857142856</v>
      </c>
      <c r="E153">
        <f t="shared" si="17"/>
        <v>171456</v>
      </c>
      <c r="F153" s="2"/>
      <c r="G153" s="2">
        <f t="shared" si="22"/>
        <v>33227.176658683136</v>
      </c>
      <c r="H153" s="2">
        <f t="shared" si="22"/>
        <v>4844.7887953742065</v>
      </c>
      <c r="I153" s="2">
        <f t="shared" si="24"/>
        <v>141928.03454594262</v>
      </c>
      <c r="J153" s="2">
        <f t="shared" si="18"/>
        <v>-135.5039168164204</v>
      </c>
      <c r="K153" s="2">
        <f t="shared" si="19"/>
        <v>-210.5524257103086</v>
      </c>
      <c r="L153" s="2">
        <f t="shared" si="20"/>
        <v>346.056342526729</v>
      </c>
      <c r="N153">
        <f t="shared" si="21"/>
        <v>135.5039168164204</v>
      </c>
    </row>
    <row r="154" spans="2:14" x14ac:dyDescent="0.3">
      <c r="B154" s="1">
        <v>44131</v>
      </c>
      <c r="C154">
        <v>354</v>
      </c>
      <c r="D154" s="2">
        <f t="shared" si="23"/>
        <v>496.28571428571428</v>
      </c>
      <c r="E154">
        <f t="shared" si="17"/>
        <v>171810</v>
      </c>
      <c r="F154" s="2"/>
      <c r="G154" s="2">
        <f t="shared" si="22"/>
        <v>33091.672741866714</v>
      </c>
      <c r="H154" s="2">
        <f t="shared" si="22"/>
        <v>4634.2363696638977</v>
      </c>
      <c r="I154" s="2">
        <f t="shared" si="24"/>
        <v>142274.09088846933</v>
      </c>
      <c r="J154" s="2">
        <f t="shared" si="18"/>
        <v>-129.08639171159442</v>
      </c>
      <c r="K154" s="2">
        <f t="shared" si="19"/>
        <v>-201.93049183582681</v>
      </c>
      <c r="L154" s="2">
        <f t="shared" si="20"/>
        <v>331.01688354742123</v>
      </c>
      <c r="N154">
        <f t="shared" si="21"/>
        <v>129.08639171159442</v>
      </c>
    </row>
    <row r="155" spans="2:14" x14ac:dyDescent="0.3">
      <c r="B155" s="1">
        <v>44132</v>
      </c>
      <c r="C155">
        <v>561</v>
      </c>
      <c r="D155" s="2">
        <f t="shared" si="23"/>
        <v>485.14285714285717</v>
      </c>
      <c r="E155">
        <f t="shared" si="17"/>
        <v>172371</v>
      </c>
      <c r="F155" s="2"/>
      <c r="G155" s="2">
        <f t="shared" si="22"/>
        <v>32962.586350155121</v>
      </c>
      <c r="H155" s="2">
        <f t="shared" si="22"/>
        <v>4432.3058778280711</v>
      </c>
      <c r="I155" s="2">
        <f t="shared" si="24"/>
        <v>142605.10777201675</v>
      </c>
      <c r="J155" s="2">
        <f t="shared" si="18"/>
        <v>-122.98002123586524</v>
      </c>
      <c r="K155" s="2">
        <f t="shared" si="19"/>
        <v>-193.61325575185407</v>
      </c>
      <c r="L155" s="2">
        <f t="shared" si="20"/>
        <v>316.59327698771932</v>
      </c>
      <c r="N155">
        <f t="shared" si="21"/>
        <v>122.98002123586524</v>
      </c>
    </row>
    <row r="156" spans="2:14" x14ac:dyDescent="0.3">
      <c r="B156" s="1">
        <v>44133</v>
      </c>
      <c r="C156">
        <v>496</v>
      </c>
      <c r="D156" s="2">
        <f t="shared" si="23"/>
        <v>489.42857142857144</v>
      </c>
      <c r="E156">
        <f t="shared" si="17"/>
        <v>172867</v>
      </c>
      <c r="F156" s="2"/>
      <c r="G156" s="2">
        <f t="shared" si="22"/>
        <v>32839.606328919253</v>
      </c>
      <c r="H156" s="2">
        <f t="shared" si="22"/>
        <v>4238.692622076217</v>
      </c>
      <c r="I156" s="2">
        <f t="shared" si="24"/>
        <v>142921.70104900448</v>
      </c>
      <c r="J156" s="2">
        <f t="shared" si="18"/>
        <v>-117.16918944299451</v>
      </c>
      <c r="K156" s="2">
        <f t="shared" si="19"/>
        <v>-185.59456927673526</v>
      </c>
      <c r="L156" s="2">
        <f t="shared" si="20"/>
        <v>302.76375871972976</v>
      </c>
      <c r="N156">
        <f t="shared" si="21"/>
        <v>117.16918944299451</v>
      </c>
    </row>
    <row r="157" spans="2:14" x14ac:dyDescent="0.3">
      <c r="B157" s="1">
        <v>44134</v>
      </c>
      <c r="C157">
        <v>549</v>
      </c>
      <c r="D157" s="2">
        <f t="shared" si="23"/>
        <v>524</v>
      </c>
      <c r="E157">
        <f t="shared" si="17"/>
        <v>173416</v>
      </c>
      <c r="F157" s="2"/>
      <c r="G157" s="2">
        <f t="shared" si="22"/>
        <v>32722.43713947626</v>
      </c>
      <c r="H157" s="2">
        <f t="shared" si="22"/>
        <v>4053.0980527994816</v>
      </c>
      <c r="I157" s="2">
        <f t="shared" si="24"/>
        <v>143224.4648077242</v>
      </c>
      <c r="J157" s="2">
        <f t="shared" si="18"/>
        <v>-111.63909617244499</v>
      </c>
      <c r="K157" s="2">
        <f t="shared" si="19"/>
        <v>-177.86790759894652</v>
      </c>
      <c r="L157" s="2">
        <f t="shared" si="20"/>
        <v>289.50700377139151</v>
      </c>
      <c r="N157">
        <f t="shared" si="21"/>
        <v>111.63909617244499</v>
      </c>
    </row>
    <row r="158" spans="2:14" x14ac:dyDescent="0.3">
      <c r="B158" s="1">
        <v>44135</v>
      </c>
      <c r="C158">
        <v>478</v>
      </c>
      <c r="D158" s="2">
        <f t="shared" si="23"/>
        <v>531.85714285714289</v>
      </c>
      <c r="E158">
        <f t="shared" si="17"/>
        <v>173894</v>
      </c>
      <c r="F158" s="2"/>
      <c r="G158" s="2">
        <f t="shared" si="22"/>
        <v>32610.798043303814</v>
      </c>
      <c r="H158" s="2">
        <f t="shared" si="22"/>
        <v>3875.2301452005349</v>
      </c>
      <c r="I158" s="2">
        <f t="shared" si="24"/>
        <v>143513.9718114956</v>
      </c>
      <c r="J158" s="2">
        <f t="shared" si="18"/>
        <v>-106.37571349870166</v>
      </c>
      <c r="K158" s="2">
        <f t="shared" si="19"/>
        <v>-170.42643972990794</v>
      </c>
      <c r="L158" s="2">
        <f t="shared" si="20"/>
        <v>276.8021532286096</v>
      </c>
      <c r="N158">
        <f t="shared" si="21"/>
        <v>106.37571349870166</v>
      </c>
    </row>
    <row r="159" spans="2:14" x14ac:dyDescent="0.3">
      <c r="B159" s="1">
        <v>44136</v>
      </c>
      <c r="C159">
        <v>598</v>
      </c>
      <c r="D159" s="2">
        <f t="shared" si="23"/>
        <v>482.28571428571428</v>
      </c>
      <c r="E159">
        <f t="shared" si="17"/>
        <v>174492</v>
      </c>
      <c r="F159" s="2"/>
      <c r="G159" s="2">
        <f t="shared" si="22"/>
        <v>32504.422329805111</v>
      </c>
      <c r="H159" s="2">
        <f t="shared" si="22"/>
        <v>3704.8037054706269</v>
      </c>
      <c r="I159" s="2">
        <f t="shared" si="24"/>
        <v>143790.77396472421</v>
      </c>
      <c r="J159" s="2">
        <f t="shared" si="18"/>
        <v>-101.36574435323584</v>
      </c>
      <c r="K159" s="2">
        <f t="shared" si="19"/>
        <v>-163.2630917518089</v>
      </c>
      <c r="L159" s="2">
        <f t="shared" si="20"/>
        <v>264.62883610504474</v>
      </c>
      <c r="N159">
        <f t="shared" si="21"/>
        <v>101.36574435323584</v>
      </c>
    </row>
    <row r="160" spans="2:14" x14ac:dyDescent="0.3">
      <c r="B160" s="1">
        <v>44137</v>
      </c>
      <c r="C160">
        <v>632</v>
      </c>
      <c r="D160" s="2">
        <f t="shared" si="23"/>
        <v>492.85714285714283</v>
      </c>
      <c r="E160">
        <f t="shared" si="17"/>
        <v>175124</v>
      </c>
      <c r="F160" s="2"/>
      <c r="G160" s="2">
        <f t="shared" si="22"/>
        <v>32403.056585451875</v>
      </c>
      <c r="H160" s="2">
        <f t="shared" si="22"/>
        <v>3541.5406137188179</v>
      </c>
      <c r="I160" s="2">
        <f t="shared" si="24"/>
        <v>144055.40280082927</v>
      </c>
      <c r="J160" s="2">
        <f t="shared" si="18"/>
        <v>-96.596583254214494</v>
      </c>
      <c r="K160" s="2">
        <f t="shared" si="19"/>
        <v>-156.37060343998678</v>
      </c>
      <c r="L160" s="2">
        <f t="shared" si="20"/>
        <v>252.96718669420127</v>
      </c>
      <c r="N160">
        <f t="shared" si="21"/>
        <v>96.596583254214494</v>
      </c>
    </row>
    <row r="161" spans="2:14" x14ac:dyDescent="0.3">
      <c r="B161" s="1">
        <v>44138</v>
      </c>
      <c r="C161">
        <v>409</v>
      </c>
      <c r="D161" s="2">
        <f t="shared" si="23"/>
        <v>490</v>
      </c>
      <c r="E161">
        <f t="shared" si="17"/>
        <v>175533</v>
      </c>
      <c r="F161" s="2"/>
      <c r="G161" s="2">
        <f t="shared" si="22"/>
        <v>32306.460002197662</v>
      </c>
      <c r="H161" s="2">
        <f t="shared" si="22"/>
        <v>3385.1700102788309</v>
      </c>
      <c r="I161" s="2">
        <f t="shared" si="24"/>
        <v>144308.36998752347</v>
      </c>
      <c r="J161" s="2">
        <f t="shared" si="18"/>
        <v>-92.056279072148243</v>
      </c>
      <c r="K161" s="2">
        <f t="shared" si="19"/>
        <v>-149.74157880491109</v>
      </c>
      <c r="L161" s="2">
        <f t="shared" si="20"/>
        <v>241.79785787705933</v>
      </c>
      <c r="N161">
        <f t="shared" si="21"/>
        <v>92.056279072148243</v>
      </c>
    </row>
    <row r="162" spans="2:14" x14ac:dyDescent="0.3">
      <c r="B162" s="1">
        <v>44139</v>
      </c>
      <c r="C162">
        <v>214</v>
      </c>
      <c r="D162" s="2">
        <f t="shared" si="23"/>
        <v>500.85714285714283</v>
      </c>
      <c r="E162">
        <f t="shared" si="17"/>
        <v>175747</v>
      </c>
      <c r="F162" s="2"/>
      <c r="G162" s="2">
        <f t="shared" si="22"/>
        <v>32214.403723125513</v>
      </c>
      <c r="H162" s="2">
        <f t="shared" si="22"/>
        <v>3235.4284314739198</v>
      </c>
      <c r="I162" s="2">
        <f t="shared" si="24"/>
        <v>144550.16784540055</v>
      </c>
      <c r="J162" s="2">
        <f t="shared" si="18"/>
        <v>-87.733499754864965</v>
      </c>
      <c r="K162" s="2">
        <f t="shared" si="19"/>
        <v>-143.36853106470073</v>
      </c>
      <c r="L162" s="2">
        <f t="shared" si="20"/>
        <v>231.1020308195657</v>
      </c>
      <c r="N162">
        <f t="shared" si="21"/>
        <v>87.733499754864965</v>
      </c>
    </row>
    <row r="163" spans="2:14" x14ac:dyDescent="0.3">
      <c r="B163" s="1">
        <v>44140</v>
      </c>
      <c r="C163">
        <v>570</v>
      </c>
      <c r="D163" s="2">
        <f t="shared" si="23"/>
        <v>510.57142857142856</v>
      </c>
      <c r="E163">
        <f t="shared" si="17"/>
        <v>176317</v>
      </c>
      <c r="F163" s="2"/>
      <c r="G163" s="2">
        <f t="shared" si="22"/>
        <v>32126.670223370649</v>
      </c>
      <c r="H163" s="2">
        <f t="shared" si="22"/>
        <v>3092.0599004092192</v>
      </c>
      <c r="I163" s="2">
        <f t="shared" si="24"/>
        <v>144781.26987622012</v>
      </c>
      <c r="J163" s="2">
        <f t="shared" si="18"/>
        <v>-83.617498932117229</v>
      </c>
      <c r="K163" s="2">
        <f t="shared" si="19"/>
        <v>-137.24392252568413</v>
      </c>
      <c r="L163" s="2">
        <f t="shared" si="20"/>
        <v>220.86142145780136</v>
      </c>
      <c r="N163">
        <f t="shared" si="21"/>
        <v>83.617498932117229</v>
      </c>
    </row>
    <row r="164" spans="2:14" x14ac:dyDescent="0.3">
      <c r="B164" s="1">
        <v>44141</v>
      </c>
      <c r="C164">
        <v>529</v>
      </c>
      <c r="D164" s="2">
        <f t="shared" si="23"/>
        <v>487.85714285714283</v>
      </c>
      <c r="E164">
        <f t="shared" si="17"/>
        <v>176846</v>
      </c>
      <c r="F164" s="2"/>
      <c r="G164" s="2">
        <f t="shared" si="22"/>
        <v>32043.05272443853</v>
      </c>
      <c r="H164" s="2">
        <f t="shared" si="22"/>
        <v>2954.8159778835352</v>
      </c>
      <c r="I164" s="2">
        <f t="shared" si="24"/>
        <v>145002.13129767793</v>
      </c>
      <c r="J164" s="2">
        <f t="shared" si="18"/>
        <v>-79.69808431846424</v>
      </c>
      <c r="K164" s="2">
        <f t="shared" si="19"/>
        <v>-131.36019981607399</v>
      </c>
      <c r="L164" s="2">
        <f t="shared" si="20"/>
        <v>211.05828413453821</v>
      </c>
      <c r="N164">
        <f t="shared" si="21"/>
        <v>79.69808431846424</v>
      </c>
    </row>
    <row r="165" spans="2:14" x14ac:dyDescent="0.3">
      <c r="B165" s="1">
        <v>44142</v>
      </c>
      <c r="C165">
        <v>554</v>
      </c>
      <c r="D165" s="2">
        <f t="shared" si="23"/>
        <v>481.42857142857144</v>
      </c>
      <c r="E165">
        <f t="shared" si="17"/>
        <v>177400</v>
      </c>
      <c r="F165" s="2"/>
      <c r="G165" s="2">
        <f t="shared" si="22"/>
        <v>31963.354640120066</v>
      </c>
      <c r="H165" s="2">
        <f t="shared" si="22"/>
        <v>2823.4557780674613</v>
      </c>
      <c r="I165" s="2">
        <f t="shared" si="24"/>
        <v>145213.18958181248</v>
      </c>
      <c r="J165" s="2">
        <f t="shared" si="18"/>
        <v>-75.96558783254747</v>
      </c>
      <c r="K165" s="2">
        <f t="shared" si="19"/>
        <v>-125.7098248865569</v>
      </c>
      <c r="L165" s="2">
        <f t="shared" si="20"/>
        <v>201.67541271910437</v>
      </c>
      <c r="N165">
        <f t="shared" si="21"/>
        <v>75.96558783254747</v>
      </c>
    </row>
    <row r="166" spans="2:14" x14ac:dyDescent="0.3">
      <c r="B166" s="1">
        <v>44143</v>
      </c>
      <c r="C166">
        <v>666</v>
      </c>
      <c r="D166" s="2">
        <f t="shared" si="23"/>
        <v>507</v>
      </c>
      <c r="E166">
        <f t="shared" si="17"/>
        <v>178066</v>
      </c>
      <c r="F166" s="2"/>
      <c r="G166" s="2">
        <f t="shared" si="22"/>
        <v>31887.389052287519</v>
      </c>
      <c r="H166" s="2">
        <f t="shared" si="22"/>
        <v>2697.7459531809045</v>
      </c>
      <c r="I166" s="2">
        <f t="shared" si="24"/>
        <v>145414.86499453158</v>
      </c>
      <c r="J166" s="2">
        <f t="shared" si="18"/>
        <v>-72.410837351274182</v>
      </c>
      <c r="K166" s="2">
        <f t="shared" si="19"/>
        <v>-120.28530216164756</v>
      </c>
      <c r="L166" s="2">
        <f t="shared" si="20"/>
        <v>192.69613951292175</v>
      </c>
      <c r="N166">
        <f t="shared" si="21"/>
        <v>72.410837351274182</v>
      </c>
    </row>
    <row r="167" spans="2:14" x14ac:dyDescent="0.3">
      <c r="B167" s="1">
        <v>44144</v>
      </c>
      <c r="C167">
        <v>473</v>
      </c>
      <c r="D167" s="2">
        <f t="shared" si="23"/>
        <v>470.57142857142856</v>
      </c>
      <c r="E167">
        <f t="shared" si="17"/>
        <v>178539</v>
      </c>
      <c r="F167" s="2"/>
      <c r="G167" s="2">
        <f t="shared" si="22"/>
        <v>31814.978214936244</v>
      </c>
      <c r="H167" s="2">
        <f t="shared" si="22"/>
        <v>2577.4606510192571</v>
      </c>
      <c r="I167" s="2">
        <f t="shared" si="24"/>
        <v>145607.56113404452</v>
      </c>
      <c r="J167" s="2">
        <f t="shared" si="18"/>
        <v>-69.025130018546335</v>
      </c>
      <c r="K167" s="2">
        <f t="shared" si="19"/>
        <v>-115.07920219711487</v>
      </c>
      <c r="L167" s="2">
        <f t="shared" si="20"/>
        <v>184.1043322156612</v>
      </c>
      <c r="N167">
        <f t="shared" si="21"/>
        <v>69.025130018546335</v>
      </c>
    </row>
    <row r="168" spans="2:14" x14ac:dyDescent="0.3">
      <c r="B168" s="1">
        <v>44145</v>
      </c>
      <c r="C168">
        <v>364</v>
      </c>
      <c r="D168" s="2">
        <f t="shared" si="23"/>
        <v>450.85714285714283</v>
      </c>
      <c r="E168">
        <f t="shared" si="17"/>
        <v>178903</v>
      </c>
      <c r="F168" s="2"/>
      <c r="G168" s="2">
        <f t="shared" si="22"/>
        <v>31745.953084917699</v>
      </c>
      <c r="H168" s="2">
        <f t="shared" si="22"/>
        <v>2462.3814488221424</v>
      </c>
      <c r="I168" s="2">
        <f t="shared" si="24"/>
        <v>145791.66546626016</v>
      </c>
      <c r="J168" s="2">
        <f t="shared" si="18"/>
        <v>-65.800207029864808</v>
      </c>
      <c r="K168" s="2">
        <f t="shared" si="19"/>
        <v>-110.08418217171679</v>
      </c>
      <c r="L168" s="2">
        <f t="shared" si="20"/>
        <v>175.8843892015816</v>
      </c>
      <c r="N168">
        <f t="shared" si="21"/>
        <v>65.800207029864808</v>
      </c>
    </row>
    <row r="169" spans="2:14" x14ac:dyDescent="0.3">
      <c r="B169" s="1">
        <v>44146</v>
      </c>
      <c r="C169">
        <v>393</v>
      </c>
      <c r="D169" s="2">
        <f t="shared" si="23"/>
        <v>420.71428571428572</v>
      </c>
      <c r="E169">
        <f t="shared" si="17"/>
        <v>179296</v>
      </c>
      <c r="F169" s="2"/>
      <c r="G169" s="2">
        <f t="shared" si="22"/>
        <v>31680.152877887835</v>
      </c>
      <c r="H169" s="2">
        <f t="shared" si="22"/>
        <v>2352.2972666504256</v>
      </c>
      <c r="I169" s="2">
        <f t="shared" si="24"/>
        <v>145967.54985546175</v>
      </c>
      <c r="J169" s="2">
        <f t="shared" si="18"/>
        <v>-62.728229816265291</v>
      </c>
      <c r="K169" s="2">
        <f t="shared" si="19"/>
        <v>-105.29300351590794</v>
      </c>
      <c r="L169" s="2">
        <f t="shared" si="20"/>
        <v>168.02123333217324</v>
      </c>
      <c r="N169">
        <f t="shared" si="21"/>
        <v>62.728229816265291</v>
      </c>
    </row>
    <row r="170" spans="2:14" x14ac:dyDescent="0.3">
      <c r="B170" s="1">
        <v>44147</v>
      </c>
      <c r="C170">
        <v>315</v>
      </c>
      <c r="D170" s="2">
        <f t="shared" si="23"/>
        <v>387.14285714285717</v>
      </c>
      <c r="E170">
        <f t="shared" si="17"/>
        <v>179611</v>
      </c>
      <c r="F170" s="2"/>
      <c r="G170" s="2">
        <f t="shared" si="22"/>
        <v>31617.42464807157</v>
      </c>
      <c r="H170" s="2">
        <f t="shared" si="22"/>
        <v>2247.0042631345177</v>
      </c>
      <c r="I170" s="2">
        <f t="shared" si="24"/>
        <v>146135.57108879392</v>
      </c>
      <c r="J170" s="2">
        <f t="shared" si="18"/>
        <v>-59.801757553494269</v>
      </c>
      <c r="K170" s="2">
        <f t="shared" si="19"/>
        <v>-100.69854695611414</v>
      </c>
      <c r="L170" s="2">
        <f t="shared" si="20"/>
        <v>160.50030450960841</v>
      </c>
      <c r="N170">
        <f t="shared" si="21"/>
        <v>59.801757553494269</v>
      </c>
    </row>
    <row r="171" spans="2:14" x14ac:dyDescent="0.3">
      <c r="B171" s="1">
        <v>44148</v>
      </c>
      <c r="C171">
        <v>391</v>
      </c>
      <c r="D171" s="2">
        <f t="shared" si="23"/>
        <v>369.42857142857144</v>
      </c>
      <c r="E171">
        <f t="shared" si="17"/>
        <v>180002</v>
      </c>
      <c r="F171" s="2"/>
      <c r="G171" s="2">
        <f t="shared" si="22"/>
        <v>31557.622890518076</v>
      </c>
      <c r="H171" s="2">
        <f t="shared" si="22"/>
        <v>2146.3057161784036</v>
      </c>
      <c r="I171" s="2">
        <f t="shared" si="24"/>
        <v>146296.07139330351</v>
      </c>
      <c r="J171" s="2">
        <f t="shared" si="18"/>
        <v>-57.013725925018008</v>
      </c>
      <c r="K171" s="2">
        <f t="shared" si="19"/>
        <v>-96.293825230582229</v>
      </c>
      <c r="L171" s="2">
        <f t="shared" si="20"/>
        <v>153.30755115560024</v>
      </c>
      <c r="N171">
        <f t="shared" si="21"/>
        <v>57.013725925018008</v>
      </c>
    </row>
    <row r="172" spans="2:14" x14ac:dyDescent="0.3">
      <c r="B172" s="1">
        <v>44149</v>
      </c>
      <c r="C172">
        <v>343</v>
      </c>
      <c r="D172" s="2">
        <f t="shared" si="23"/>
        <v>350.42857142857144</v>
      </c>
      <c r="E172">
        <f t="shared" si="17"/>
        <v>180345</v>
      </c>
      <c r="F172" s="2"/>
      <c r="G172" s="2">
        <f t="shared" si="22"/>
        <v>31500.609164593057</v>
      </c>
      <c r="H172" s="2">
        <f t="shared" si="22"/>
        <v>2050.0118909478215</v>
      </c>
      <c r="I172" s="2">
        <f t="shared" si="24"/>
        <v>146449.37894445911</v>
      </c>
      <c r="J172" s="2">
        <f t="shared" si="18"/>
        <v>-54.357427070299401</v>
      </c>
      <c r="K172" s="2">
        <f t="shared" si="19"/>
        <v>-92.071993711687838</v>
      </c>
      <c r="L172" s="2">
        <f t="shared" si="20"/>
        <v>146.42942078198723</v>
      </c>
      <c r="N172">
        <f t="shared" si="21"/>
        <v>54.357427070299401</v>
      </c>
    </row>
    <row r="173" spans="2:14" x14ac:dyDescent="0.3">
      <c r="B173" s="1">
        <v>44150</v>
      </c>
      <c r="C173">
        <v>431</v>
      </c>
      <c r="D173" s="2">
        <f t="shared" si="23"/>
        <v>343.85714285714283</v>
      </c>
      <c r="E173">
        <f t="shared" si="17"/>
        <v>180776</v>
      </c>
      <c r="F173" s="2"/>
      <c r="G173" s="2">
        <f t="shared" si="22"/>
        <v>31446.251737522758</v>
      </c>
      <c r="H173" s="2">
        <f t="shared" si="22"/>
        <v>1957.9398972361337</v>
      </c>
      <c r="I173" s="2">
        <f t="shared" si="24"/>
        <v>146595.8083652411</v>
      </c>
      <c r="J173" s="2">
        <f t="shared" si="18"/>
        <v>-51.826490652716245</v>
      </c>
      <c r="K173" s="2">
        <f t="shared" si="19"/>
        <v>-88.026359149864732</v>
      </c>
      <c r="L173" s="2">
        <f t="shared" si="20"/>
        <v>139.85284980258098</v>
      </c>
      <c r="N173">
        <f t="shared" si="21"/>
        <v>51.826490652716245</v>
      </c>
    </row>
    <row r="174" spans="2:14" x14ac:dyDescent="0.3">
      <c r="B174" s="1">
        <v>44151</v>
      </c>
      <c r="C174">
        <v>349</v>
      </c>
      <c r="D174" s="2">
        <f t="shared" si="23"/>
        <v>342.71428571428572</v>
      </c>
      <c r="E174">
        <f t="shared" si="17"/>
        <v>181125</v>
      </c>
      <c r="F174" s="2"/>
      <c r="G174" s="2">
        <f t="shared" si="22"/>
        <v>31394.425246870043</v>
      </c>
      <c r="H174" s="2">
        <f t="shared" si="22"/>
        <v>1869.913538086269</v>
      </c>
      <c r="I174" s="2">
        <f t="shared" si="24"/>
        <v>146735.66121504368</v>
      </c>
      <c r="J174" s="2">
        <f t="shared" si="18"/>
        <v>-49.414865984477828</v>
      </c>
      <c r="K174" s="2">
        <f t="shared" si="19"/>
        <v>-84.150386735969946</v>
      </c>
      <c r="L174" s="2">
        <f t="shared" si="20"/>
        <v>133.56525272044777</v>
      </c>
      <c r="N174">
        <f t="shared" si="21"/>
        <v>49.414865984477828</v>
      </c>
    </row>
    <row r="175" spans="2:14" x14ac:dyDescent="0.3">
      <c r="B175" s="1">
        <v>44152</v>
      </c>
      <c r="C175">
        <v>231</v>
      </c>
      <c r="D175" s="2">
        <f t="shared" si="23"/>
        <v>337.85714285714283</v>
      </c>
      <c r="E175">
        <f t="shared" si="17"/>
        <v>181356</v>
      </c>
      <c r="F175" s="2"/>
      <c r="G175" s="2">
        <f t="shared" si="22"/>
        <v>31345.010380885564</v>
      </c>
      <c r="H175" s="2">
        <f t="shared" si="22"/>
        <v>1785.763151350299</v>
      </c>
      <c r="I175" s="2">
        <f t="shared" si="24"/>
        <v>146869.22646776412</v>
      </c>
      <c r="J175" s="2">
        <f t="shared" si="18"/>
        <v>-47.116805148887238</v>
      </c>
      <c r="K175" s="2">
        <f t="shared" si="19"/>
        <v>-80.437705661848398</v>
      </c>
      <c r="L175" s="2">
        <f t="shared" si="20"/>
        <v>127.55451081073564</v>
      </c>
      <c r="N175">
        <f t="shared" si="21"/>
        <v>47.116805148887238</v>
      </c>
    </row>
    <row r="176" spans="2:14" x14ac:dyDescent="0.3">
      <c r="B176" s="1">
        <v>44153</v>
      </c>
      <c r="C176">
        <v>347</v>
      </c>
      <c r="D176" s="2">
        <f t="shared" si="23"/>
        <v>336.28571428571428</v>
      </c>
      <c r="E176">
        <f t="shared" si="17"/>
        <v>181703</v>
      </c>
      <c r="F176" s="2"/>
      <c r="G176" s="2">
        <f t="shared" si="22"/>
        <v>31297.893575736678</v>
      </c>
      <c r="H176" s="2">
        <f t="shared" si="22"/>
        <v>1705.3254456884506</v>
      </c>
      <c r="I176" s="2">
        <f t="shared" si="24"/>
        <v>146996.78097857485</v>
      </c>
      <c r="J176" s="2">
        <f t="shared" si="18"/>
        <v>-44.926847063259977</v>
      </c>
      <c r="K176" s="2">
        <f t="shared" si="19"/>
        <v>-76.88211334305791</v>
      </c>
      <c r="L176" s="2">
        <f t="shared" si="20"/>
        <v>121.80896040631789</v>
      </c>
      <c r="N176">
        <f t="shared" si="21"/>
        <v>44.926847063259977</v>
      </c>
    </row>
    <row r="177" spans="2:14" x14ac:dyDescent="0.3">
      <c r="B177" s="1">
        <v>44154</v>
      </c>
      <c r="C177">
        <v>307</v>
      </c>
      <c r="D177" s="2">
        <f t="shared" si="23"/>
        <v>347.85714285714283</v>
      </c>
      <c r="E177">
        <f t="shared" si="17"/>
        <v>182010</v>
      </c>
      <c r="F177" s="2"/>
      <c r="G177" s="2">
        <f t="shared" si="22"/>
        <v>31252.966728673418</v>
      </c>
      <c r="H177" s="2">
        <f t="shared" si="22"/>
        <v>1628.4433323453927</v>
      </c>
      <c r="I177" s="2">
        <f t="shared" si="24"/>
        <v>147118.58993898117</v>
      </c>
      <c r="J177" s="2">
        <f t="shared" si="18"/>
        <v>-42.839802428721072</v>
      </c>
      <c r="K177" s="2">
        <f t="shared" si="19"/>
        <v>-73.47757845309269</v>
      </c>
      <c r="L177" s="2">
        <f t="shared" si="20"/>
        <v>116.31738088181376</v>
      </c>
      <c r="N177">
        <f t="shared" si="21"/>
        <v>42.839802428721072</v>
      </c>
    </row>
    <row r="178" spans="2:14" x14ac:dyDescent="0.3">
      <c r="B178" s="1">
        <v>44155</v>
      </c>
      <c r="C178">
        <v>357</v>
      </c>
      <c r="D178" s="2">
        <f t="shared" si="23"/>
        <v>364.14285714285717</v>
      </c>
      <c r="E178">
        <f t="shared" si="17"/>
        <v>182367</v>
      </c>
      <c r="F178" s="2"/>
      <c r="G178" s="2">
        <f t="shared" si="22"/>
        <v>31210.126926244699</v>
      </c>
      <c r="H178" s="2">
        <f t="shared" si="22"/>
        <v>1554.9657538923</v>
      </c>
      <c r="I178" s="2">
        <f t="shared" si="24"/>
        <v>147234.90731986298</v>
      </c>
      <c r="J178" s="2">
        <f t="shared" si="18"/>
        <v>-40.850739515944831</v>
      </c>
      <c r="K178" s="2">
        <f t="shared" si="19"/>
        <v>-70.218242904933732</v>
      </c>
      <c r="L178" s="2">
        <f t="shared" si="20"/>
        <v>111.06898242087857</v>
      </c>
      <c r="N178">
        <f t="shared" si="21"/>
        <v>40.850739515944831</v>
      </c>
    </row>
    <row r="179" spans="2:14" x14ac:dyDescent="0.3">
      <c r="B179" s="1">
        <v>44156</v>
      </c>
      <c r="C179">
        <v>332</v>
      </c>
      <c r="D179" s="2">
        <f t="shared" si="23"/>
        <v>369.71428571428572</v>
      </c>
      <c r="E179">
        <f t="shared" si="17"/>
        <v>182699</v>
      </c>
      <c r="F179" s="2"/>
      <c r="G179" s="2">
        <f t="shared" si="22"/>
        <v>31169.276186728755</v>
      </c>
      <c r="H179" s="2">
        <f t="shared" si="22"/>
        <v>1484.7475109873662</v>
      </c>
      <c r="I179" s="2">
        <f t="shared" si="24"/>
        <v>147345.97630228385</v>
      </c>
      <c r="J179" s="2">
        <f t="shared" si="18"/>
        <v>-38.95497073865598</v>
      </c>
      <c r="K179" s="2">
        <f t="shared" si="19"/>
        <v>-67.09842290329874</v>
      </c>
      <c r="L179" s="2">
        <f t="shared" si="20"/>
        <v>106.05339364195473</v>
      </c>
      <c r="N179">
        <f t="shared" si="21"/>
        <v>38.95497073865598</v>
      </c>
    </row>
    <row r="180" spans="2:14" x14ac:dyDescent="0.3">
      <c r="B180" s="1">
        <v>44157</v>
      </c>
      <c r="C180">
        <v>512</v>
      </c>
      <c r="D180" s="2">
        <f t="shared" si="23"/>
        <v>365</v>
      </c>
      <c r="E180">
        <f t="shared" si="17"/>
        <v>183211</v>
      </c>
      <c r="F180" s="2"/>
      <c r="G180" s="2">
        <f t="shared" si="22"/>
        <v>31130.321215990098</v>
      </c>
      <c r="H180" s="2">
        <f t="shared" si="22"/>
        <v>1417.6490880840674</v>
      </c>
      <c r="I180" s="2">
        <f t="shared" si="24"/>
        <v>147452.0296959258</v>
      </c>
      <c r="J180" s="2">
        <f t="shared" si="18"/>
        <v>-37.148039969370757</v>
      </c>
      <c r="K180" s="2">
        <f t="shared" si="19"/>
        <v>-64.112609179491201</v>
      </c>
      <c r="L180" s="2">
        <f t="shared" si="20"/>
        <v>101.26064914886196</v>
      </c>
      <c r="N180">
        <f t="shared" si="21"/>
        <v>37.148039969370757</v>
      </c>
    </row>
    <row r="181" spans="2:14" x14ac:dyDescent="0.3">
      <c r="B181" s="1">
        <v>44158</v>
      </c>
      <c r="C181">
        <v>463</v>
      </c>
      <c r="D181" s="2">
        <f t="shared" si="23"/>
        <v>366.57142857142856</v>
      </c>
      <c r="E181">
        <f t="shared" si="17"/>
        <v>183674</v>
      </c>
      <c r="F181" s="2"/>
      <c r="G181" s="2">
        <f t="shared" si="22"/>
        <v>31093.173176020726</v>
      </c>
      <c r="H181" s="2">
        <f t="shared" si="22"/>
        <v>1353.5364789045761</v>
      </c>
      <c r="I181" s="2">
        <f t="shared" si="24"/>
        <v>147553.29034507467</v>
      </c>
      <c r="J181" s="2">
        <f t="shared" si="18"/>
        <v>-35.425710554411872</v>
      </c>
      <c r="K181" s="2">
        <f t="shared" si="19"/>
        <v>-61.255466510200698</v>
      </c>
      <c r="L181" s="2">
        <f t="shared" si="20"/>
        <v>96.681177064612569</v>
      </c>
      <c r="N181">
        <f t="shared" si="21"/>
        <v>35.425710554411872</v>
      </c>
    </row>
    <row r="182" spans="2:14" x14ac:dyDescent="0.3">
      <c r="B182" s="1">
        <v>44159</v>
      </c>
      <c r="C182">
        <v>270</v>
      </c>
      <c r="D182" s="2">
        <f t="shared" si="23"/>
        <v>392.85714285714283</v>
      </c>
      <c r="E182">
        <f t="shared" si="17"/>
        <v>183944</v>
      </c>
      <c r="F182" s="2"/>
      <c r="G182" s="2">
        <f t="shared" si="22"/>
        <v>31057.747465466313</v>
      </c>
      <c r="H182" s="2">
        <f t="shared" si="22"/>
        <v>1292.2810123943755</v>
      </c>
      <c r="I182" s="2">
        <f t="shared" si="24"/>
        <v>147649.97152213927</v>
      </c>
      <c r="J182" s="2">
        <f t="shared" si="18"/>
        <v>-33.783953987678167</v>
      </c>
      <c r="K182" s="2">
        <f t="shared" si="19"/>
        <v>-58.521832611920068</v>
      </c>
      <c r="L182" s="2">
        <f t="shared" si="20"/>
        <v>92.305786599598235</v>
      </c>
      <c r="N182">
        <f t="shared" si="21"/>
        <v>33.783953987678167</v>
      </c>
    </row>
    <row r="183" spans="2:14" x14ac:dyDescent="0.3">
      <c r="B183" s="1">
        <v>44160</v>
      </c>
      <c r="C183">
        <v>314</v>
      </c>
      <c r="D183" s="2">
        <f t="shared" si="23"/>
        <v>402</v>
      </c>
      <c r="E183">
        <f t="shared" si="17"/>
        <v>184258</v>
      </c>
      <c r="F183" s="2"/>
      <c r="G183" s="2">
        <f t="shared" si="22"/>
        <v>31023.963511478636</v>
      </c>
      <c r="H183" s="2">
        <f t="shared" si="22"/>
        <v>1233.7591797824555</v>
      </c>
      <c r="I183" s="2">
        <f t="shared" si="24"/>
        <v>147742.27730873888</v>
      </c>
      <c r="J183" s="2">
        <f t="shared" si="18"/>
        <v>-32.218939204985439</v>
      </c>
      <c r="K183" s="2">
        <f t="shared" si="19"/>
        <v>-55.906716493761373</v>
      </c>
      <c r="L183" s="2">
        <f t="shared" si="20"/>
        <v>88.125655698746812</v>
      </c>
      <c r="N183">
        <f t="shared" si="21"/>
        <v>32.218939204985439</v>
      </c>
    </row>
    <row r="184" spans="2:14" x14ac:dyDescent="0.3">
      <c r="B184" s="1">
        <v>44161</v>
      </c>
      <c r="C184">
        <v>318</v>
      </c>
      <c r="D184" s="2">
        <f t="shared" si="23"/>
        <v>413.42857142857144</v>
      </c>
      <c r="E184">
        <f t="shared" si="17"/>
        <v>184576</v>
      </c>
      <c r="F184" s="2"/>
      <c r="G184" s="2">
        <f t="shared" si="22"/>
        <v>30991.744572273652</v>
      </c>
      <c r="H184" s="2">
        <f t="shared" si="22"/>
        <v>1177.852463288694</v>
      </c>
      <c r="I184" s="2">
        <f t="shared" si="24"/>
        <v>147830.40296443761</v>
      </c>
      <c r="J184" s="2">
        <f t="shared" si="18"/>
        <v>-30.727022463018969</v>
      </c>
      <c r="K184" s="2">
        <f t="shared" si="19"/>
        <v>-53.405296343316309</v>
      </c>
      <c r="L184" s="2">
        <f t="shared" si="20"/>
        <v>84.132318806335277</v>
      </c>
      <c r="N184">
        <f t="shared" si="21"/>
        <v>30.727022463018969</v>
      </c>
    </row>
    <row r="185" spans="2:14" x14ac:dyDescent="0.3">
      <c r="B185" s="1">
        <v>44162</v>
      </c>
      <c r="C185">
        <v>541</v>
      </c>
      <c r="D185" s="2">
        <f t="shared" si="23"/>
        <v>407</v>
      </c>
      <c r="E185">
        <f t="shared" si="17"/>
        <v>185117</v>
      </c>
      <c r="F185" s="2"/>
      <c r="G185" s="2">
        <f t="shared" si="22"/>
        <v>30961.017549810633</v>
      </c>
      <c r="H185" s="2">
        <f t="shared" si="22"/>
        <v>1124.4471669453778</v>
      </c>
      <c r="I185" s="2">
        <f t="shared" si="24"/>
        <v>147914.53528324395</v>
      </c>
      <c r="J185" s="2">
        <f t="shared" si="18"/>
        <v>-29.3047377690494</v>
      </c>
      <c r="K185" s="2">
        <f t="shared" si="19"/>
        <v>-51.012917012763296</v>
      </c>
      <c r="L185" s="2">
        <f t="shared" si="20"/>
        <v>80.317654781812692</v>
      </c>
      <c r="N185">
        <f t="shared" si="21"/>
        <v>29.3047377690494</v>
      </c>
    </row>
    <row r="186" spans="2:14" x14ac:dyDescent="0.3">
      <c r="B186" s="1">
        <v>44163</v>
      </c>
      <c r="C186">
        <v>396</v>
      </c>
      <c r="D186" s="2">
        <f t="shared" si="23"/>
        <v>409.57142857142856</v>
      </c>
      <c r="E186">
        <f t="shared" si="17"/>
        <v>185513</v>
      </c>
      <c r="F186" s="2"/>
      <c r="G186" s="2">
        <f t="shared" si="22"/>
        <v>30931.712812041584</v>
      </c>
      <c r="H186" s="2">
        <f t="shared" si="22"/>
        <v>1073.4342499326144</v>
      </c>
      <c r="I186" s="2">
        <f t="shared" si="24"/>
        <v>147994.85293802575</v>
      </c>
      <c r="J186" s="2">
        <f t="shared" si="18"/>
        <v>-27.94878782956641</v>
      </c>
      <c r="K186" s="2">
        <f t="shared" si="19"/>
        <v>-48.725087165620323</v>
      </c>
      <c r="L186" s="2">
        <f t="shared" si="20"/>
        <v>76.673874995186736</v>
      </c>
      <c r="N186">
        <f t="shared" si="21"/>
        <v>27.94878782956641</v>
      </c>
    </row>
    <row r="187" spans="2:14" x14ac:dyDescent="0.3">
      <c r="B187" s="1">
        <v>44164</v>
      </c>
      <c r="C187">
        <v>592</v>
      </c>
      <c r="D187" s="2">
        <f t="shared" si="23"/>
        <v>416.42857142857144</v>
      </c>
      <c r="E187">
        <f t="shared" si="17"/>
        <v>186105</v>
      </c>
      <c r="F187" s="2"/>
      <c r="G187" s="2">
        <f t="shared" si="22"/>
        <v>30903.764024212018</v>
      </c>
      <c r="H187" s="2">
        <f t="shared" si="22"/>
        <v>1024.709162766994</v>
      </c>
      <c r="I187" s="2">
        <f t="shared" si="24"/>
        <v>148071.52681302093</v>
      </c>
      <c r="J187" s="2">
        <f t="shared" si="18"/>
        <v>-26.656035487877986</v>
      </c>
      <c r="K187" s="2">
        <f t="shared" si="19"/>
        <v>-46.537476138335876</v>
      </c>
      <c r="L187" s="2">
        <f t="shared" si="20"/>
        <v>73.193511626213862</v>
      </c>
      <c r="N187">
        <f t="shared" si="21"/>
        <v>26.656035487877986</v>
      </c>
    </row>
    <row r="188" spans="2:14" x14ac:dyDescent="0.3">
      <c r="B188" s="1">
        <v>44165</v>
      </c>
      <c r="C188">
        <v>418</v>
      </c>
      <c r="D188" s="2">
        <f t="shared" si="23"/>
        <v>413.85714285714283</v>
      </c>
      <c r="E188">
        <f t="shared" si="17"/>
        <v>186523</v>
      </c>
      <c r="F188" s="2"/>
      <c r="G188" s="2">
        <f t="shared" si="22"/>
        <v>30877.107988724139</v>
      </c>
      <c r="H188" s="2">
        <f t="shared" si="22"/>
        <v>978.17168662865811</v>
      </c>
      <c r="I188" s="2">
        <f t="shared" si="24"/>
        <v>148144.72032464715</v>
      </c>
      <c r="J188" s="2">
        <f t="shared" si="18"/>
        <v>-25.423495622513052</v>
      </c>
      <c r="K188" s="2">
        <f t="shared" si="19"/>
        <v>-44.445910565248234</v>
      </c>
      <c r="L188" s="2">
        <f t="shared" si="20"/>
        <v>69.869406187761285</v>
      </c>
      <c r="N188">
        <f t="shared" si="21"/>
        <v>25.423495622513052</v>
      </c>
    </row>
    <row r="189" spans="2:14" x14ac:dyDescent="0.3">
      <c r="B189" s="1">
        <v>44166</v>
      </c>
      <c r="C189">
        <v>288</v>
      </c>
      <c r="D189" s="2">
        <f t="shared" si="23"/>
        <v>369.71428571428572</v>
      </c>
      <c r="E189">
        <f t="shared" si="17"/>
        <v>186811</v>
      </c>
      <c r="F189" s="2"/>
      <c r="G189" s="2">
        <f t="shared" si="22"/>
        <v>30851.684493101628</v>
      </c>
      <c r="H189" s="2">
        <f t="shared" si="22"/>
        <v>933.72577606340985</v>
      </c>
      <c r="I189" s="2">
        <f t="shared" si="24"/>
        <v>148214.58973083491</v>
      </c>
      <c r="J189" s="2">
        <f t="shared" si="18"/>
        <v>-24.24832747995352</v>
      </c>
      <c r="K189" s="2">
        <f t="shared" si="19"/>
        <v>-42.446370810290034</v>
      </c>
      <c r="L189" s="2">
        <f t="shared" si="20"/>
        <v>66.694698290243551</v>
      </c>
      <c r="N189">
        <f t="shared" si="21"/>
        <v>24.24832747995352</v>
      </c>
    </row>
    <row r="190" spans="2:14" x14ac:dyDescent="0.3">
      <c r="B190" s="1">
        <v>44167</v>
      </c>
      <c r="C190">
        <v>362</v>
      </c>
      <c r="D190" s="2">
        <f t="shared" si="23"/>
        <v>376</v>
      </c>
      <c r="E190">
        <f t="shared" si="17"/>
        <v>187173</v>
      </c>
      <c r="F190" s="2"/>
      <c r="G190" s="2">
        <f t="shared" si="22"/>
        <v>30827.436165621675</v>
      </c>
      <c r="H190" s="2">
        <f t="shared" si="22"/>
        <v>891.27940525311988</v>
      </c>
      <c r="I190" s="2">
        <f t="shared" si="24"/>
        <v>148281.28442912514</v>
      </c>
      <c r="J190" s="2">
        <f t="shared" si="18"/>
        <v>-23.12782741681297</v>
      </c>
      <c r="K190" s="2">
        <f t="shared" si="19"/>
        <v>-40.53498724412416</v>
      </c>
      <c r="L190" s="2">
        <f t="shared" si="20"/>
        <v>63.66281466093713</v>
      </c>
      <c r="N190">
        <f t="shared" si="21"/>
        <v>23.12782741681297</v>
      </c>
    </row>
    <row r="191" spans="2:14" x14ac:dyDescent="0.3">
      <c r="B191" s="1">
        <v>44168</v>
      </c>
      <c r="C191">
        <v>300</v>
      </c>
      <c r="D191" s="2">
        <f t="shared" si="23"/>
        <v>360.57142857142856</v>
      </c>
      <c r="E191">
        <f t="shared" si="17"/>
        <v>187473</v>
      </c>
      <c r="F191" s="2"/>
      <c r="G191" s="2">
        <f t="shared" si="22"/>
        <v>30804.308338204861</v>
      </c>
      <c r="H191" s="2">
        <f t="shared" si="22"/>
        <v>850.74441800899569</v>
      </c>
      <c r="I191" s="2">
        <f t="shared" si="24"/>
        <v>148344.94724378607</v>
      </c>
      <c r="J191" s="2">
        <f t="shared" si="18"/>
        <v>-22.059422028077229</v>
      </c>
      <c r="K191" s="2">
        <f t="shared" si="19"/>
        <v>-38.708036401136745</v>
      </c>
      <c r="L191" s="2">
        <f t="shared" si="20"/>
        <v>60.767458429213974</v>
      </c>
      <c r="N191">
        <f t="shared" si="21"/>
        <v>22.059422028077229</v>
      </c>
    </row>
    <row r="192" spans="2:14" x14ac:dyDescent="0.3">
      <c r="B192" s="1">
        <v>44169</v>
      </c>
      <c r="C192">
        <v>232</v>
      </c>
      <c r="D192" s="2">
        <f t="shared" si="23"/>
        <v>356</v>
      </c>
      <c r="E192">
        <f t="shared" si="17"/>
        <v>187705</v>
      </c>
      <c r="F192" s="2"/>
      <c r="G192" s="2">
        <f t="shared" si="22"/>
        <v>30782.248916176784</v>
      </c>
      <c r="H192" s="2">
        <f t="shared" si="22"/>
        <v>812.03638160785897</v>
      </c>
      <c r="I192" s="2">
        <f t="shared" si="24"/>
        <v>148405.71470221528</v>
      </c>
      <c r="J192" s="2">
        <f t="shared" si="18"/>
        <v>-21.040661639431512</v>
      </c>
      <c r="K192" s="2">
        <f t="shared" si="19"/>
        <v>-36.961937046844128</v>
      </c>
      <c r="L192" s="2">
        <f t="shared" si="20"/>
        <v>58.00259868627564</v>
      </c>
      <c r="N192">
        <f t="shared" si="21"/>
        <v>21.040661639431512</v>
      </c>
    </row>
    <row r="193" spans="2:14" x14ac:dyDescent="0.3">
      <c r="B193" s="1">
        <v>44170</v>
      </c>
      <c r="C193">
        <v>440</v>
      </c>
      <c r="D193" s="2">
        <f t="shared" si="23"/>
        <v>361.14285714285717</v>
      </c>
      <c r="E193">
        <f t="shared" si="17"/>
        <v>188145</v>
      </c>
      <c r="F193" s="2"/>
      <c r="G193" s="2">
        <f t="shared" si="22"/>
        <v>30761.208254537352</v>
      </c>
      <c r="H193" s="2">
        <f t="shared" si="22"/>
        <v>775.07444456101484</v>
      </c>
      <c r="I193" s="2">
        <f t="shared" si="24"/>
        <v>148463.71730090157</v>
      </c>
      <c r="J193" s="2">
        <f t="shared" si="18"/>
        <v>-20.069214143022933</v>
      </c>
      <c r="K193" s="2">
        <f t="shared" si="19"/>
        <v>-35.293246182763838</v>
      </c>
      <c r="L193" s="2">
        <f t="shared" si="20"/>
        <v>55.36246032578677</v>
      </c>
      <c r="N193">
        <f t="shared" si="21"/>
        <v>20.069214143022933</v>
      </c>
    </row>
    <row r="194" spans="2:14" x14ac:dyDescent="0.3">
      <c r="B194" s="1">
        <v>44171</v>
      </c>
      <c r="C194">
        <v>484</v>
      </c>
      <c r="D194" s="2">
        <f t="shared" si="23"/>
        <v>360</v>
      </c>
      <c r="E194">
        <f t="shared" si="17"/>
        <v>188629</v>
      </c>
      <c r="F194" s="2"/>
      <c r="G194" s="2">
        <f t="shared" si="22"/>
        <v>30741.13904039433</v>
      </c>
      <c r="H194" s="2">
        <f t="shared" si="22"/>
        <v>739.78119837825102</v>
      </c>
      <c r="I194" s="2">
        <f t="shared" si="24"/>
        <v>148519.07976122736</v>
      </c>
      <c r="J194" s="2">
        <f t="shared" si="18"/>
        <v>-19.142859157251984</v>
      </c>
      <c r="K194" s="2">
        <f t="shared" si="19"/>
        <v>-33.698655012623085</v>
      </c>
      <c r="L194" s="2">
        <f t="shared" si="20"/>
        <v>52.841514169875069</v>
      </c>
      <c r="N194">
        <f t="shared" si="21"/>
        <v>19.142859157251984</v>
      </c>
    </row>
    <row r="195" spans="2:14" x14ac:dyDescent="0.3">
      <c r="B195" s="1">
        <v>44172</v>
      </c>
      <c r="C195">
        <v>386</v>
      </c>
      <c r="D195" s="2">
        <f t="shared" si="23"/>
        <v>364.71428571428572</v>
      </c>
      <c r="E195">
        <f t="shared" si="17"/>
        <v>189015</v>
      </c>
      <c r="F195" s="2"/>
      <c r="G195" s="2">
        <f t="shared" si="22"/>
        <v>30721.996181237078</v>
      </c>
      <c r="H195" s="2">
        <f t="shared" si="22"/>
        <v>706.08254336562788</v>
      </c>
      <c r="I195" s="2">
        <f t="shared" si="24"/>
        <v>148571.92127539724</v>
      </c>
      <c r="J195" s="2">
        <f t="shared" si="18"/>
        <v>-18.259482492354362</v>
      </c>
      <c r="K195" s="2">
        <f t="shared" si="19"/>
        <v>-32.174984890904767</v>
      </c>
      <c r="L195" s="2">
        <f t="shared" si="20"/>
        <v>50.434467383259133</v>
      </c>
      <c r="N195">
        <f t="shared" si="21"/>
        <v>18.259482492354362</v>
      </c>
    </row>
    <row r="196" spans="2:14" x14ac:dyDescent="0.3">
      <c r="B196" s="1">
        <v>44173</v>
      </c>
      <c r="C196">
        <v>324</v>
      </c>
      <c r="D196" s="2">
        <f t="shared" si="23"/>
        <v>375.42857142857144</v>
      </c>
      <c r="E196">
        <f t="shared" si="17"/>
        <v>189339</v>
      </c>
      <c r="F196" s="2"/>
      <c r="G196" s="2">
        <f t="shared" si="22"/>
        <v>30703.736698744724</v>
      </c>
      <c r="H196" s="2">
        <f t="shared" si="22"/>
        <v>673.90755847472315</v>
      </c>
      <c r="I196" s="2">
        <f t="shared" si="24"/>
        <v>148622.35574278049</v>
      </c>
      <c r="J196" s="2">
        <f t="shared" si="18"/>
        <v>-17.417070904631156</v>
      </c>
      <c r="K196" s="2">
        <f t="shared" si="19"/>
        <v>-30.719183272134782</v>
      </c>
      <c r="L196" s="2">
        <f t="shared" si="20"/>
        <v>48.136254176765938</v>
      </c>
      <c r="N196">
        <f t="shared" si="21"/>
        <v>17.417070904631156</v>
      </c>
    </row>
    <row r="197" spans="2:14" x14ac:dyDescent="0.3">
      <c r="B197" s="1">
        <v>44174</v>
      </c>
      <c r="C197">
        <v>354</v>
      </c>
      <c r="D197" s="2">
        <f t="shared" si="23"/>
        <v>363</v>
      </c>
      <c r="E197">
        <f t="shared" si="17"/>
        <v>189693</v>
      </c>
      <c r="F197" s="2"/>
      <c r="G197" s="2">
        <f t="shared" si="22"/>
        <v>30686.319627840094</v>
      </c>
      <c r="H197" s="2">
        <f t="shared" si="22"/>
        <v>643.18837520258842</v>
      </c>
      <c r="I197" s="2">
        <f t="shared" si="24"/>
        <v>148670.49199695725</v>
      </c>
      <c r="J197" s="2">
        <f t="shared" si="18"/>
        <v>-16.613707123213612</v>
      </c>
      <c r="K197" s="2">
        <f t="shared" si="19"/>
        <v>-29.328319676971272</v>
      </c>
      <c r="L197" s="2">
        <f t="shared" si="20"/>
        <v>45.942026800184884</v>
      </c>
      <c r="N197">
        <f t="shared" si="21"/>
        <v>16.613707123213612</v>
      </c>
    </row>
    <row r="198" spans="2:14" x14ac:dyDescent="0.3">
      <c r="B198" s="1">
        <v>44175</v>
      </c>
      <c r="C198">
        <v>333</v>
      </c>
      <c r="D198" s="2">
        <f t="shared" si="23"/>
        <v>347.28571428571428</v>
      </c>
      <c r="E198">
        <f t="shared" si="17"/>
        <v>190026</v>
      </c>
      <c r="F198" s="2"/>
      <c r="G198" s="2">
        <f t="shared" si="22"/>
        <v>30669.705920716879</v>
      </c>
      <c r="H198" s="2">
        <f t="shared" si="22"/>
        <v>613.8600555256171</v>
      </c>
      <c r="I198" s="2">
        <f t="shared" si="24"/>
        <v>148716.43402375744</v>
      </c>
      <c r="J198" s="2">
        <f t="shared" si="18"/>
        <v>-15.847565134213477</v>
      </c>
      <c r="K198" s="2">
        <f t="shared" si="19"/>
        <v>-27.999581689044888</v>
      </c>
      <c r="L198" s="2">
        <f t="shared" si="20"/>
        <v>43.847146823258363</v>
      </c>
      <c r="N198">
        <f t="shared" si="21"/>
        <v>15.847565134213477</v>
      </c>
    </row>
    <row r="199" spans="2:14" x14ac:dyDescent="0.3">
      <c r="B199" s="1">
        <v>44176</v>
      </c>
      <c r="C199">
        <v>307</v>
      </c>
      <c r="D199" s="2">
        <f t="shared" si="23"/>
        <v>367.14285714285717</v>
      </c>
      <c r="E199">
        <f t="shared" ref="E199:E219" si="25">C199+E198</f>
        <v>190333</v>
      </c>
      <c r="F199" s="2"/>
      <c r="G199" s="2">
        <f t="shared" si="22"/>
        <v>30653.858355582666</v>
      </c>
      <c r="H199" s="2">
        <f t="shared" si="22"/>
        <v>585.86047383657217</v>
      </c>
      <c r="I199" s="2">
        <f t="shared" si="24"/>
        <v>148760.28117058068</v>
      </c>
      <c r="J199" s="2">
        <f t="shared" ref="J199:J219" si="26">-C$1*G199*H199/C$3</f>
        <v>-15.116905708014166</v>
      </c>
      <c r="K199" s="2">
        <f t="shared" ref="K199:K219" si="27">-J199-L199</f>
        <v>-26.730270994598129</v>
      </c>
      <c r="L199" s="2">
        <f t="shared" ref="L199:L219" si="28">C$2*H199</f>
        <v>41.847176702612295</v>
      </c>
      <c r="N199">
        <f t="shared" ref="N199:N219" si="29">(C$1*G199*H199)/C$3</f>
        <v>15.116905708014166</v>
      </c>
    </row>
    <row r="200" spans="2:14" x14ac:dyDescent="0.3">
      <c r="B200" s="1">
        <v>44177</v>
      </c>
      <c r="C200">
        <v>353</v>
      </c>
      <c r="D200" s="2">
        <f t="shared" si="23"/>
        <v>360.42857142857144</v>
      </c>
      <c r="E200">
        <f t="shared" si="25"/>
        <v>190686</v>
      </c>
      <c r="F200" s="2"/>
      <c r="G200" s="2">
        <f t="shared" ref="G200:H219" si="30">G199+J199</f>
        <v>30638.741449874651</v>
      </c>
      <c r="H200" s="2">
        <f t="shared" si="30"/>
        <v>559.1302028419741</v>
      </c>
      <c r="I200" s="2">
        <f t="shared" si="24"/>
        <v>148802.12834728329</v>
      </c>
      <c r="J200" s="2">
        <f t="shared" si="26"/>
        <v>-14.420072156305736</v>
      </c>
      <c r="K200" s="2">
        <f t="shared" si="27"/>
        <v>-25.517799475263843</v>
      </c>
      <c r="L200" s="2">
        <f t="shared" si="28"/>
        <v>39.937871631569578</v>
      </c>
      <c r="N200">
        <f t="shared" si="29"/>
        <v>14.420072156305736</v>
      </c>
    </row>
    <row r="201" spans="2:14" x14ac:dyDescent="0.3">
      <c r="B201" s="1">
        <v>44178</v>
      </c>
      <c r="C201">
        <v>374</v>
      </c>
      <c r="D201" s="2">
        <f t="shared" ref="D201:D216" si="31">AVERAGE(C198:C204)</f>
        <v>350.57142857142856</v>
      </c>
      <c r="E201">
        <f t="shared" si="25"/>
        <v>191060</v>
      </c>
      <c r="F201" s="2"/>
      <c r="G201" s="2">
        <f t="shared" si="30"/>
        <v>30624.321377718345</v>
      </c>
      <c r="H201" s="2">
        <f t="shared" si="30"/>
        <v>533.61240336671028</v>
      </c>
      <c r="I201" s="2">
        <f t="shared" ref="I201:I219" si="32">I200+L200</f>
        <v>148842.06621891487</v>
      </c>
      <c r="J201" s="2">
        <f t="shared" si="26"/>
        <v>-13.755486306261625</v>
      </c>
      <c r="K201" s="2">
        <f t="shared" si="27"/>
        <v>-24.359685362789108</v>
      </c>
      <c r="L201" s="2">
        <f t="shared" si="28"/>
        <v>38.115171669050731</v>
      </c>
      <c r="N201">
        <f t="shared" si="29"/>
        <v>13.755486306261625</v>
      </c>
    </row>
    <row r="202" spans="2:14" x14ac:dyDescent="0.3">
      <c r="B202" s="1">
        <v>44179</v>
      </c>
      <c r="C202">
        <v>525</v>
      </c>
      <c r="D202" s="2">
        <f t="shared" si="31"/>
        <v>355.85714285714283</v>
      </c>
      <c r="E202">
        <f t="shared" si="25"/>
        <v>191585</v>
      </c>
      <c r="F202" s="2"/>
      <c r="G202" s="2">
        <f t="shared" si="30"/>
        <v>30610.565891412083</v>
      </c>
      <c r="H202" s="2">
        <f t="shared" si="30"/>
        <v>509.25271800392119</v>
      </c>
      <c r="I202" s="2">
        <f t="shared" si="32"/>
        <v>148880.18139058392</v>
      </c>
      <c r="J202" s="2">
        <f t="shared" si="26"/>
        <v>-13.121644679999768</v>
      </c>
      <c r="K202" s="2">
        <f t="shared" si="27"/>
        <v>-23.25354946313746</v>
      </c>
      <c r="L202" s="2">
        <f t="shared" si="28"/>
        <v>36.375194143137229</v>
      </c>
      <c r="N202">
        <f t="shared" si="29"/>
        <v>13.121644679999768</v>
      </c>
    </row>
    <row r="203" spans="2:14" x14ac:dyDescent="0.3">
      <c r="B203" s="1">
        <v>44180</v>
      </c>
      <c r="C203">
        <v>277</v>
      </c>
      <c r="D203" s="2">
        <f t="shared" si="31"/>
        <v>410.57142857142856</v>
      </c>
      <c r="E203">
        <f t="shared" si="25"/>
        <v>191862</v>
      </c>
      <c r="F203" s="2"/>
      <c r="G203" s="2">
        <f t="shared" si="30"/>
        <v>30597.444246732084</v>
      </c>
      <c r="H203" s="2">
        <f t="shared" si="30"/>
        <v>485.99916854078373</v>
      </c>
      <c r="I203" s="2">
        <f t="shared" si="32"/>
        <v>148916.55658472705</v>
      </c>
      <c r="J203" s="2">
        <f t="shared" si="26"/>
        <v>-12.517114868169008</v>
      </c>
      <c r="K203" s="2">
        <f t="shared" si="27"/>
        <v>-22.197111456172685</v>
      </c>
      <c r="L203" s="2">
        <f t="shared" si="28"/>
        <v>34.714226324341695</v>
      </c>
      <c r="N203">
        <f t="shared" si="29"/>
        <v>12.517114868169008</v>
      </c>
    </row>
    <row r="204" spans="2:14" x14ac:dyDescent="0.3">
      <c r="B204" s="1">
        <v>44181</v>
      </c>
      <c r="C204">
        <v>285</v>
      </c>
      <c r="D204" s="2">
        <f t="shared" si="31"/>
        <v>423.28571428571428</v>
      </c>
      <c r="E204">
        <f t="shared" si="25"/>
        <v>192147</v>
      </c>
      <c r="F204" s="2"/>
      <c r="G204" s="2">
        <f t="shared" si="30"/>
        <v>30584.927131863915</v>
      </c>
      <c r="H204" s="2">
        <f t="shared" si="30"/>
        <v>463.80205708461102</v>
      </c>
      <c r="I204" s="2">
        <f t="shared" si="32"/>
        <v>148951.27081105139</v>
      </c>
      <c r="J204" s="2">
        <f t="shared" si="26"/>
        <v>-11.940532087156074</v>
      </c>
      <c r="K204" s="2">
        <f t="shared" si="27"/>
        <v>-21.188186276030429</v>
      </c>
      <c r="L204" s="2">
        <f t="shared" si="28"/>
        <v>33.128718363186501</v>
      </c>
      <c r="N204">
        <f t="shared" si="29"/>
        <v>11.940532087156074</v>
      </c>
    </row>
    <row r="205" spans="2:14" x14ac:dyDescent="0.3">
      <c r="B205" s="1">
        <v>44182</v>
      </c>
      <c r="C205">
        <v>370</v>
      </c>
      <c r="D205" s="2">
        <f t="shared" si="31"/>
        <v>438.42857142857144</v>
      </c>
      <c r="E205">
        <f t="shared" si="25"/>
        <v>192517</v>
      </c>
      <c r="F205" s="2"/>
      <c r="G205" s="2">
        <f t="shared" si="30"/>
        <v>30572.986599776759</v>
      </c>
      <c r="H205" s="2">
        <f t="shared" si="30"/>
        <v>442.6138708085806</v>
      </c>
      <c r="I205" s="2">
        <f t="shared" si="32"/>
        <v>148984.39952941457</v>
      </c>
      <c r="J205" s="2">
        <f t="shared" si="26"/>
        <v>-11.390595910021931</v>
      </c>
      <c r="K205" s="2">
        <f t="shared" si="27"/>
        <v>-20.224680576305254</v>
      </c>
      <c r="L205" s="2">
        <f t="shared" si="28"/>
        <v>31.615276486327183</v>
      </c>
      <c r="N205">
        <f t="shared" si="29"/>
        <v>11.390595910021931</v>
      </c>
    </row>
    <row r="206" spans="2:14" x14ac:dyDescent="0.3">
      <c r="B206" s="1">
        <v>44183</v>
      </c>
      <c r="C206">
        <v>690</v>
      </c>
      <c r="D206" s="2">
        <f t="shared" si="31"/>
        <v>449</v>
      </c>
      <c r="E206">
        <f t="shared" si="25"/>
        <v>193207</v>
      </c>
      <c r="F206" s="2"/>
      <c r="G206" s="2">
        <f t="shared" si="30"/>
        <v>30561.596003866736</v>
      </c>
      <c r="H206" s="2">
        <f t="shared" si="30"/>
        <v>422.38919023227533</v>
      </c>
      <c r="I206" s="2">
        <f t="shared" si="32"/>
        <v>149016.01480590089</v>
      </c>
      <c r="J206" s="2">
        <f t="shared" si="26"/>
        <v>-10.866067161851189</v>
      </c>
      <c r="K206" s="2">
        <f t="shared" si="27"/>
        <v>-19.30458928331133</v>
      </c>
      <c r="L206" s="2">
        <f t="shared" si="28"/>
        <v>30.170656445162521</v>
      </c>
      <c r="N206">
        <f t="shared" si="29"/>
        <v>10.866067161851189</v>
      </c>
    </row>
    <row r="207" spans="2:14" x14ac:dyDescent="0.3">
      <c r="B207" s="1">
        <v>44184</v>
      </c>
      <c r="C207">
        <v>442</v>
      </c>
      <c r="D207" s="2">
        <f t="shared" si="31"/>
        <v>457</v>
      </c>
      <c r="E207">
        <f t="shared" si="25"/>
        <v>193649</v>
      </c>
      <c r="F207" s="2"/>
      <c r="G207" s="2">
        <f t="shared" si="30"/>
        <v>30550.729936704884</v>
      </c>
      <c r="H207" s="2">
        <f t="shared" si="30"/>
        <v>403.08460094896401</v>
      </c>
      <c r="I207" s="2">
        <f t="shared" si="32"/>
        <v>149046.18546234607</v>
      </c>
      <c r="J207" s="2">
        <f t="shared" si="26"/>
        <v>-10.36576497073759</v>
      </c>
      <c r="K207" s="2">
        <f t="shared" si="27"/>
        <v>-18.425992239902694</v>
      </c>
      <c r="L207" s="2">
        <f t="shared" si="28"/>
        <v>28.791757210640284</v>
      </c>
      <c r="N207">
        <f t="shared" si="29"/>
        <v>10.36576497073759</v>
      </c>
    </row>
    <row r="208" spans="2:14" x14ac:dyDescent="0.3">
      <c r="B208" s="1">
        <v>44185</v>
      </c>
      <c r="C208">
        <v>480</v>
      </c>
      <c r="D208" s="2">
        <f t="shared" si="31"/>
        <v>478.42857142857144</v>
      </c>
      <c r="E208">
        <f t="shared" si="25"/>
        <v>194129</v>
      </c>
      <c r="F208" s="2"/>
      <c r="G208" s="2">
        <f t="shared" si="30"/>
        <v>30540.364171734145</v>
      </c>
      <c r="H208" s="2">
        <f t="shared" si="30"/>
        <v>384.6586087090613</v>
      </c>
      <c r="I208" s="2">
        <f t="shared" si="32"/>
        <v>149074.97721955672</v>
      </c>
      <c r="J208" s="2">
        <f t="shared" si="26"/>
        <v>-9.8885639661341074</v>
      </c>
      <c r="K208" s="2">
        <f t="shared" si="27"/>
        <v>-17.587050941655985</v>
      </c>
      <c r="L208" s="2">
        <f t="shared" si="28"/>
        <v>27.475614907790092</v>
      </c>
      <c r="N208">
        <f t="shared" si="29"/>
        <v>9.8885639661341074</v>
      </c>
    </row>
    <row r="209" spans="2:14" x14ac:dyDescent="0.3">
      <c r="B209" s="1">
        <v>44186</v>
      </c>
      <c r="C209">
        <v>599</v>
      </c>
      <c r="D209" s="2">
        <f t="shared" si="31"/>
        <v>496.42857142857144</v>
      </c>
      <c r="E209">
        <f t="shared" si="25"/>
        <v>194728</v>
      </c>
      <c r="F209" s="2"/>
      <c r="G209" s="2">
        <f t="shared" si="30"/>
        <v>30530.47560776801</v>
      </c>
      <c r="H209" s="2">
        <f t="shared" si="30"/>
        <v>367.0715577674053</v>
      </c>
      <c r="I209" s="2">
        <f t="shared" si="32"/>
        <v>149102.45283446452</v>
      </c>
      <c r="J209" s="2">
        <f t="shared" si="26"/>
        <v>-9.4333916167703489</v>
      </c>
      <c r="K209" s="2">
        <f t="shared" si="27"/>
        <v>-16.78600536661574</v>
      </c>
      <c r="L209" s="2">
        <f t="shared" si="28"/>
        <v>26.21939698338609</v>
      </c>
      <c r="N209">
        <f t="shared" si="29"/>
        <v>9.4333916167703489</v>
      </c>
    </row>
    <row r="210" spans="2:14" x14ac:dyDescent="0.3">
      <c r="B210" s="1">
        <v>44187</v>
      </c>
      <c r="C210">
        <v>333</v>
      </c>
      <c r="D210" s="2">
        <f t="shared" si="31"/>
        <v>472.57142857142856</v>
      </c>
      <c r="E210">
        <f t="shared" si="25"/>
        <v>195061</v>
      </c>
      <c r="F210" s="2"/>
      <c r="G210" s="2">
        <f t="shared" si="30"/>
        <v>30521.04221615124</v>
      </c>
      <c r="H210" s="2">
        <f t="shared" si="30"/>
        <v>350.28555240078958</v>
      </c>
      <c r="I210" s="2">
        <f t="shared" si="32"/>
        <v>149128.67223144791</v>
      </c>
      <c r="J210" s="2">
        <f t="shared" si="26"/>
        <v>-8.9992257007848124</v>
      </c>
      <c r="K210" s="2">
        <f t="shared" si="27"/>
        <v>-16.021170899271585</v>
      </c>
      <c r="L210" s="2">
        <f t="shared" si="28"/>
        <v>25.020396600056397</v>
      </c>
      <c r="N210">
        <f t="shared" si="29"/>
        <v>8.9992257007848124</v>
      </c>
    </row>
    <row r="211" spans="2:14" x14ac:dyDescent="0.3">
      <c r="B211" s="1">
        <v>44188</v>
      </c>
      <c r="C211">
        <v>435</v>
      </c>
      <c r="D211" s="2">
        <f t="shared" si="31"/>
        <v>463</v>
      </c>
      <c r="E211">
        <f t="shared" si="25"/>
        <v>195496</v>
      </c>
      <c r="F211" s="2"/>
      <c r="G211" s="2">
        <f t="shared" si="30"/>
        <v>30512.042990450456</v>
      </c>
      <c r="H211" s="2">
        <f t="shared" si="30"/>
        <v>334.26438150151802</v>
      </c>
      <c r="I211" s="2">
        <f t="shared" si="32"/>
        <v>149153.69262804798</v>
      </c>
      <c r="J211" s="2">
        <f t="shared" si="26"/>
        <v>-8.5850919011369111</v>
      </c>
      <c r="K211" s="2">
        <f t="shared" si="27"/>
        <v>-15.290935348971518</v>
      </c>
      <c r="L211" s="2">
        <f t="shared" si="28"/>
        <v>23.876027250108429</v>
      </c>
      <c r="N211">
        <f t="shared" si="29"/>
        <v>8.5850919011369111</v>
      </c>
    </row>
    <row r="212" spans="2:14" x14ac:dyDescent="0.3">
      <c r="B212" s="1">
        <v>44189</v>
      </c>
      <c r="C212">
        <v>496</v>
      </c>
      <c r="D212" s="2">
        <f t="shared" si="31"/>
        <v>428</v>
      </c>
      <c r="E212">
        <f t="shared" si="25"/>
        <v>195992</v>
      </c>
      <c r="F212" s="2"/>
      <c r="G212" s="2">
        <f t="shared" si="30"/>
        <v>30503.457898549321</v>
      </c>
      <c r="H212" s="2">
        <f t="shared" si="30"/>
        <v>318.9734461525465</v>
      </c>
      <c r="I212" s="2">
        <f t="shared" si="32"/>
        <v>149177.56865529809</v>
      </c>
      <c r="J212" s="2">
        <f t="shared" si="26"/>
        <v>-8.1900615197553801</v>
      </c>
      <c r="K212" s="2">
        <f t="shared" si="27"/>
        <v>-14.593756062569367</v>
      </c>
      <c r="L212" s="2">
        <f t="shared" si="28"/>
        <v>22.783817582324748</v>
      </c>
      <c r="N212">
        <f t="shared" si="29"/>
        <v>8.1900615197553801</v>
      </c>
    </row>
    <row r="213" spans="2:14" x14ac:dyDescent="0.3">
      <c r="B213" s="1">
        <v>44190</v>
      </c>
      <c r="C213">
        <v>523</v>
      </c>
      <c r="D213" s="2">
        <f t="shared" si="31"/>
        <v>369.28571428571428</v>
      </c>
      <c r="E213">
        <f t="shared" si="25"/>
        <v>196515</v>
      </c>
      <c r="F213" s="2"/>
      <c r="G213" s="2">
        <f t="shared" si="30"/>
        <v>30495.267837029565</v>
      </c>
      <c r="H213" s="2">
        <f t="shared" si="30"/>
        <v>304.37969008997715</v>
      </c>
      <c r="I213" s="2">
        <f t="shared" si="32"/>
        <v>149200.35247288042</v>
      </c>
      <c r="J213" s="2">
        <f t="shared" si="26"/>
        <v>-7.8132493042473969</v>
      </c>
      <c r="K213" s="2">
        <f t="shared" si="27"/>
        <v>-13.928157130750972</v>
      </c>
      <c r="L213" s="2">
        <f t="shared" si="28"/>
        <v>21.741406434998368</v>
      </c>
      <c r="N213">
        <f t="shared" si="29"/>
        <v>7.8132493042473969</v>
      </c>
    </row>
    <row r="214" spans="2:14" x14ac:dyDescent="0.3">
      <c r="B214" s="1">
        <v>44191</v>
      </c>
      <c r="C214">
        <v>375</v>
      </c>
      <c r="D214" s="2">
        <f t="shared" si="31"/>
        <v>352</v>
      </c>
      <c r="E214">
        <f t="shared" si="25"/>
        <v>196890</v>
      </c>
      <c r="F214" s="2"/>
      <c r="G214" s="2">
        <f t="shared" si="30"/>
        <v>30487.454587725319</v>
      </c>
      <c r="H214" s="2">
        <f t="shared" si="30"/>
        <v>290.4515329592262</v>
      </c>
      <c r="I214" s="2">
        <f t="shared" si="32"/>
        <v>149222.09387931542</v>
      </c>
      <c r="J214" s="2">
        <f t="shared" si="26"/>
        <v>-7.4538113813380571</v>
      </c>
      <c r="K214" s="2">
        <f t="shared" si="27"/>
        <v>-13.292726687178099</v>
      </c>
      <c r="L214" s="2">
        <f t="shared" si="28"/>
        <v>20.746538068516156</v>
      </c>
      <c r="N214">
        <f t="shared" si="29"/>
        <v>7.4538113813380571</v>
      </c>
    </row>
    <row r="215" spans="2:14" x14ac:dyDescent="0.3">
      <c r="B215" s="1">
        <v>44192</v>
      </c>
      <c r="C215">
        <v>235</v>
      </c>
      <c r="D215" s="2">
        <f t="shared" si="31"/>
        <v>333</v>
      </c>
      <c r="E215">
        <f t="shared" si="25"/>
        <v>197125</v>
      </c>
      <c r="F215" s="2"/>
      <c r="G215" s="2">
        <f t="shared" si="30"/>
        <v>30480.000776343979</v>
      </c>
      <c r="H215" s="2">
        <f t="shared" si="30"/>
        <v>277.15880627204808</v>
      </c>
      <c r="I215" s="2">
        <f t="shared" si="32"/>
        <v>149242.84041738394</v>
      </c>
      <c r="J215" s="2">
        <f t="shared" si="26"/>
        <v>-7.1109432915341717</v>
      </c>
      <c r="K215" s="2">
        <f t="shared" si="27"/>
        <v>-12.686114299326404</v>
      </c>
      <c r="L215" s="2">
        <f t="shared" si="28"/>
        <v>19.797057590860575</v>
      </c>
      <c r="N215">
        <f t="shared" si="29"/>
        <v>7.1109432915341717</v>
      </c>
    </row>
    <row r="216" spans="2:14" x14ac:dyDescent="0.3">
      <c r="B216" s="1">
        <v>44193</v>
      </c>
      <c r="C216">
        <v>188</v>
      </c>
      <c r="D216" s="2">
        <f t="shared" si="31"/>
        <v>341.14285714285717</v>
      </c>
      <c r="E216">
        <f t="shared" si="25"/>
        <v>197313</v>
      </c>
      <c r="F216" s="2"/>
      <c r="G216" s="2">
        <f t="shared" si="30"/>
        <v>30472.889833052446</v>
      </c>
      <c r="H216" s="2">
        <f t="shared" si="30"/>
        <v>264.47269197272169</v>
      </c>
      <c r="I216" s="2">
        <f t="shared" si="32"/>
        <v>149262.63747497479</v>
      </c>
      <c r="J216" s="2">
        <f t="shared" si="26"/>
        <v>-6.7838781198110798</v>
      </c>
      <c r="K216" s="2">
        <f t="shared" si="27"/>
        <v>-12.107028449669039</v>
      </c>
      <c r="L216" s="2">
        <f t="shared" si="28"/>
        <v>18.890906569480119</v>
      </c>
      <c r="N216">
        <f t="shared" si="29"/>
        <v>6.7838781198110798</v>
      </c>
    </row>
    <row r="217" spans="2:14" x14ac:dyDescent="0.3">
      <c r="B217" s="1">
        <v>44194</v>
      </c>
      <c r="C217">
        <v>212</v>
      </c>
      <c r="D217" s="2">
        <f>AVERAGE(C214:C219, C217)</f>
        <v>296.71428571428572</v>
      </c>
      <c r="E217">
        <f t="shared" si="25"/>
        <v>197525</v>
      </c>
      <c r="F217" s="2"/>
      <c r="G217" s="2">
        <f t="shared" si="30"/>
        <v>30466.105954932635</v>
      </c>
      <c r="H217" s="2">
        <f t="shared" si="30"/>
        <v>252.36566352305266</v>
      </c>
      <c r="I217" s="2">
        <f t="shared" si="32"/>
        <v>149281.52838154428</v>
      </c>
      <c r="J217" s="2">
        <f t="shared" si="26"/>
        <v>-6.4718847174075753</v>
      </c>
      <c r="K217" s="2">
        <f t="shared" si="27"/>
        <v>-11.554234105667614</v>
      </c>
      <c r="L217" s="2">
        <f t="shared" si="28"/>
        <v>18.026118823075191</v>
      </c>
      <c r="N217">
        <f t="shared" si="29"/>
        <v>6.4718847174075753</v>
      </c>
    </row>
    <row r="218" spans="2:14" x14ac:dyDescent="0.3">
      <c r="B218" s="1">
        <v>44195</v>
      </c>
      <c r="C218">
        <v>302</v>
      </c>
      <c r="D218" s="2">
        <f>AVERAGE(C215:C219,C218,C218)</f>
        <v>299.14285714285717</v>
      </c>
      <c r="E218">
        <f t="shared" si="25"/>
        <v>197827</v>
      </c>
      <c r="F218" s="2"/>
      <c r="G218" s="2">
        <f t="shared" si="30"/>
        <v>30459.634070215227</v>
      </c>
      <c r="H218" s="2">
        <f t="shared" si="30"/>
        <v>240.81142941738506</v>
      </c>
      <c r="I218" s="2">
        <f t="shared" si="32"/>
        <v>149299.55450036735</v>
      </c>
      <c r="J218" s="2">
        <f t="shared" si="26"/>
        <v>-6.1742660100833424</v>
      </c>
      <c r="K218" s="2">
        <f t="shared" si="27"/>
        <v>-11.026550376872731</v>
      </c>
      <c r="L218" s="2">
        <f t="shared" si="28"/>
        <v>17.200816386956074</v>
      </c>
      <c r="N218">
        <f t="shared" si="29"/>
        <v>6.1742660100833424</v>
      </c>
    </row>
    <row r="219" spans="2:14" x14ac:dyDescent="0.3">
      <c r="B219" s="1">
        <v>44196</v>
      </c>
      <c r="C219">
        <v>553</v>
      </c>
      <c r="D219" s="2">
        <f>AVERAGE(C216:C219,C219,C219,C219)</f>
        <v>416.28571428571428</v>
      </c>
      <c r="E219">
        <f t="shared" si="25"/>
        <v>198380</v>
      </c>
      <c r="F219" s="2"/>
      <c r="G219" s="2">
        <f t="shared" si="30"/>
        <v>30453.459804205144</v>
      </c>
      <c r="H219" s="2">
        <f t="shared" si="30"/>
        <v>229.78487904051232</v>
      </c>
      <c r="I219" s="2">
        <f t="shared" si="32"/>
        <v>149316.75531675431</v>
      </c>
      <c r="J219" s="2">
        <f t="shared" si="26"/>
        <v>-5.89035738844645</v>
      </c>
      <c r="K219" s="2">
        <f t="shared" si="27"/>
        <v>-10.522848257304428</v>
      </c>
      <c r="L219" s="2">
        <f t="shared" si="28"/>
        <v>16.413205645750878</v>
      </c>
      <c r="N219">
        <f t="shared" si="29"/>
        <v>5.89035738844645</v>
      </c>
    </row>
    <row r="221" spans="2:14" x14ac:dyDescent="0.3">
      <c r="B221" s="3" t="s">
        <v>26</v>
      </c>
      <c r="C221">
        <f>SUM(C6:C219)</f>
        <v>198380</v>
      </c>
      <c r="D221">
        <f>SUM(D6:D219)</f>
        <v>198380.00000000012</v>
      </c>
    </row>
    <row r="223" spans="2:14" x14ac:dyDescent="0.3">
      <c r="B223" t="s">
        <v>15</v>
      </c>
    </row>
    <row r="224" spans="2:14" x14ac:dyDescent="0.3">
      <c r="B224" t="s">
        <v>16</v>
      </c>
    </row>
    <row r="225" spans="2:2" x14ac:dyDescent="0.3">
      <c r="B225" t="s">
        <v>17</v>
      </c>
    </row>
    <row r="226" spans="2:2" x14ac:dyDescent="0.3">
      <c r="B226" t="s">
        <v>18</v>
      </c>
    </row>
    <row r="227" spans="2:2" x14ac:dyDescent="0.3">
      <c r="B227" t="s">
        <v>19</v>
      </c>
    </row>
    <row r="228" spans="2:2" x14ac:dyDescent="0.3">
      <c r="B228" t="s">
        <v>20</v>
      </c>
    </row>
    <row r="229" spans="2:2" x14ac:dyDescent="0.3">
      <c r="B229" t="s">
        <v>24</v>
      </c>
    </row>
    <row r="230" spans="2:2" x14ac:dyDescent="0.3">
      <c r="B230" t="s">
        <v>21</v>
      </c>
    </row>
    <row r="231" spans="2:2" x14ac:dyDescent="0.3">
      <c r="B231" t="s">
        <v>22</v>
      </c>
    </row>
    <row r="232" spans="2:2" x14ac:dyDescent="0.3">
      <c r="B232" t="s">
        <v>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Epidemic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Jerick Garcia</cp:lastModifiedBy>
  <dcterms:created xsi:type="dcterms:W3CDTF">2026-04-27T13:15:09Z</dcterms:created>
  <dcterms:modified xsi:type="dcterms:W3CDTF">2026-07-03T07:15:31Z</dcterms:modified>
</cp:coreProperties>
</file>